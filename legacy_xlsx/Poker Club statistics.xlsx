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mcfcorpfin-my.sharepoint.com/personal/aaltio_mcfcorpfin_com/Documents/Työpöytä/"/>
    </mc:Choice>
  </mc:AlternateContent>
  <xr:revisionPtr revIDLastSave="280" documentId="13_ncr:1_{E1CA8395-BC48-42AD-A568-ED9C81FF2EA1}" xr6:coauthVersionLast="47" xr6:coauthVersionMax="47" xr10:uidLastSave="{F97D2F2D-0CA7-4BDC-98A3-A1EE0289D66B}"/>
  <bookViews>
    <workbookView xWindow="-120" yWindow="-120" windowWidth="38640" windowHeight="21120" xr2:uid="{475C5A39-B870-4D03-B780-BBFA01615FD3}"/>
  </bookViews>
  <sheets>
    <sheet name="Summary" sheetId="1" r:id="rId1"/>
  </sheets>
  <definedNames>
    <definedName name="_xlnm._FilterDatabase" localSheetId="0" hidden="1">Summary!$C$71:$CY$71</definedName>
    <definedName name="IQ_CH">110000</definedName>
    <definedName name="IQ_CQ">5000</definedName>
    <definedName name="IQ_CY">10000</definedName>
    <definedName name="IQ_DAILY">500000</definedName>
    <definedName name="IQ_DNTM" hidden="1">700000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MTD" hidden="1">800000</definedName>
    <definedName name="IQ_NAMES_REVISION_DATE_" hidden="1">"04/16/2026 06:24:20"</definedName>
    <definedName name="IQ_NTM">6000</definedName>
    <definedName name="IQ_QTD" hidden="1">750000</definedName>
    <definedName name="IQ_TODAY" hidden="1">0</definedName>
    <definedName name="IQ_WEEK">50000</definedName>
    <definedName name="IQ_YTD">3000</definedName>
    <definedName name="IQ_YTDMONTH" hidden="1">130000</definedName>
    <definedName name="_xlnm.Print_Area" localSheetId="0">Summary!$A$1:$CY$189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T104" i="1" l="1"/>
  <c r="CN104" i="1"/>
  <c r="CM104" i="1"/>
  <c r="CL104" i="1"/>
  <c r="CK104" i="1"/>
  <c r="CJ104" i="1"/>
  <c r="CI104" i="1"/>
  <c r="CH104" i="1"/>
  <c r="CG104" i="1"/>
  <c r="CF104" i="1"/>
  <c r="CE104" i="1"/>
  <c r="CD104" i="1"/>
  <c r="CC104" i="1"/>
  <c r="CB104" i="1"/>
  <c r="CA104" i="1"/>
  <c r="BZ104" i="1"/>
  <c r="BY104" i="1"/>
  <c r="BX104" i="1"/>
  <c r="BW104" i="1"/>
  <c r="BV104" i="1"/>
  <c r="BU104" i="1"/>
  <c r="BT104" i="1"/>
  <c r="BS104" i="1"/>
  <c r="BR104" i="1"/>
  <c r="BQ104" i="1"/>
  <c r="BP104" i="1"/>
  <c r="BO104" i="1"/>
  <c r="BN104" i="1"/>
  <c r="BM104" i="1"/>
  <c r="BL104" i="1"/>
  <c r="BK104" i="1"/>
  <c r="BJ104" i="1"/>
  <c r="BI104" i="1"/>
  <c r="BH104" i="1"/>
  <c r="BG104" i="1"/>
  <c r="BF104" i="1"/>
  <c r="BE104" i="1"/>
  <c r="BD104" i="1"/>
  <c r="BC104" i="1"/>
  <c r="BB104" i="1"/>
  <c r="BA104" i="1"/>
  <c r="AZ104" i="1"/>
  <c r="AY104" i="1"/>
  <c r="AX104" i="1"/>
  <c r="AW104" i="1"/>
  <c r="AV104" i="1"/>
  <c r="AU104" i="1"/>
  <c r="AT104" i="1"/>
  <c r="AS104" i="1"/>
  <c r="AR104" i="1"/>
  <c r="AQ104" i="1"/>
  <c r="AP104" i="1"/>
  <c r="AO104" i="1"/>
  <c r="AN104" i="1"/>
  <c r="AM104" i="1"/>
  <c r="AL104" i="1"/>
  <c r="AK104" i="1"/>
  <c r="AJ104" i="1"/>
  <c r="AI104" i="1"/>
  <c r="AH104" i="1"/>
  <c r="AG104" i="1"/>
  <c r="AF104" i="1"/>
  <c r="AE104" i="1"/>
  <c r="AD104" i="1"/>
  <c r="AC104" i="1"/>
  <c r="AB104" i="1"/>
  <c r="AA104" i="1"/>
  <c r="Z104" i="1"/>
  <c r="Y104" i="1"/>
  <c r="X104" i="1"/>
  <c r="W104" i="1"/>
  <c r="V104" i="1"/>
  <c r="U104" i="1"/>
  <c r="T104" i="1"/>
  <c r="S104" i="1"/>
  <c r="R104" i="1"/>
  <c r="Q104" i="1"/>
  <c r="P104" i="1"/>
  <c r="O104" i="1"/>
  <c r="N104" i="1"/>
  <c r="M104" i="1"/>
  <c r="L104" i="1"/>
  <c r="K104" i="1"/>
  <c r="J104" i="1"/>
  <c r="I104" i="1"/>
  <c r="H104" i="1"/>
  <c r="G104" i="1"/>
  <c r="F104" i="1"/>
  <c r="E104" i="1"/>
  <c r="D104" i="1"/>
  <c r="CN147" i="1"/>
  <c r="CP145" i="1"/>
  <c r="C145" i="1"/>
  <c r="C104" i="1" s="1"/>
  <c r="CM186" i="1"/>
  <c r="CP184" i="1"/>
  <c r="CP104" i="1" s="1"/>
  <c r="CN186" i="1"/>
  <c r="CN103" i="1"/>
  <c r="CN102" i="1"/>
  <c r="CN101" i="1"/>
  <c r="CN100" i="1"/>
  <c r="CN99" i="1"/>
  <c r="CN98" i="1"/>
  <c r="CN97" i="1"/>
  <c r="CN96" i="1"/>
  <c r="CN95" i="1"/>
  <c r="CN94" i="1"/>
  <c r="CN93" i="1"/>
  <c r="CN92" i="1"/>
  <c r="CN91" i="1"/>
  <c r="CN90" i="1"/>
  <c r="CN89" i="1"/>
  <c r="CN88" i="1"/>
  <c r="CN87" i="1"/>
  <c r="CN86" i="1"/>
  <c r="CN85" i="1"/>
  <c r="CN84" i="1"/>
  <c r="CN83" i="1"/>
  <c r="CN82" i="1"/>
  <c r="CN81" i="1"/>
  <c r="CN80" i="1"/>
  <c r="CN79" i="1"/>
  <c r="CN78" i="1"/>
  <c r="CN77" i="1"/>
  <c r="CN76" i="1"/>
  <c r="CN75" i="1"/>
  <c r="CN74" i="1"/>
  <c r="CN73" i="1"/>
  <c r="CN72" i="1"/>
  <c r="CN70" i="1"/>
  <c r="CN26" i="1" s="1"/>
  <c r="CN27" i="1"/>
  <c r="CM147" i="1"/>
  <c r="CM103" i="1"/>
  <c r="CM102" i="1"/>
  <c r="CM101" i="1"/>
  <c r="CM100" i="1"/>
  <c r="CM99" i="1"/>
  <c r="CM98" i="1"/>
  <c r="CM97" i="1"/>
  <c r="CM96" i="1"/>
  <c r="CM95" i="1"/>
  <c r="CM94" i="1"/>
  <c r="CM93" i="1"/>
  <c r="CM92" i="1"/>
  <c r="CM91" i="1"/>
  <c r="CM90" i="1"/>
  <c r="CM89" i="1"/>
  <c r="CM88" i="1"/>
  <c r="CM87" i="1"/>
  <c r="CM86" i="1"/>
  <c r="CM85" i="1"/>
  <c r="CM84" i="1"/>
  <c r="CM83" i="1"/>
  <c r="CM82" i="1"/>
  <c r="CM81" i="1"/>
  <c r="CM80" i="1"/>
  <c r="CM79" i="1"/>
  <c r="CM78" i="1"/>
  <c r="CM77" i="1"/>
  <c r="CM76" i="1"/>
  <c r="CM75" i="1"/>
  <c r="CM74" i="1"/>
  <c r="CM73" i="1"/>
  <c r="CM72" i="1"/>
  <c r="CM70" i="1"/>
  <c r="CM26" i="1" s="1"/>
  <c r="CM27" i="1"/>
  <c r="CL186" i="1"/>
  <c r="CL147" i="1"/>
  <c r="CL103" i="1"/>
  <c r="CL102" i="1"/>
  <c r="CL101" i="1"/>
  <c r="CL100" i="1"/>
  <c r="CL99" i="1"/>
  <c r="CL98" i="1"/>
  <c r="CL97" i="1"/>
  <c r="CL96" i="1"/>
  <c r="CL95" i="1"/>
  <c r="CL94" i="1"/>
  <c r="CL93" i="1"/>
  <c r="CL92" i="1"/>
  <c r="CL91" i="1"/>
  <c r="CL90" i="1"/>
  <c r="CL89" i="1"/>
  <c r="CL88" i="1"/>
  <c r="CL87" i="1"/>
  <c r="CL86" i="1"/>
  <c r="CL85" i="1"/>
  <c r="CL84" i="1"/>
  <c r="CL83" i="1"/>
  <c r="CL82" i="1"/>
  <c r="CL81" i="1"/>
  <c r="CL80" i="1"/>
  <c r="CL79" i="1"/>
  <c r="CL78" i="1"/>
  <c r="CL77" i="1"/>
  <c r="CL76" i="1"/>
  <c r="CL75" i="1"/>
  <c r="CL74" i="1"/>
  <c r="CL73" i="1"/>
  <c r="CL72" i="1"/>
  <c r="CL70" i="1"/>
  <c r="CL26" i="1" s="1"/>
  <c r="CL27" i="1"/>
  <c r="CR104" i="1" l="1"/>
  <c r="CS104" i="1"/>
  <c r="CX104" i="1" s="1"/>
  <c r="CN106" i="1"/>
  <c r="CN62" i="1" s="1"/>
  <c r="CM106" i="1"/>
  <c r="CM62" i="1" s="1"/>
  <c r="CL106" i="1"/>
  <c r="CL62" i="1" s="1"/>
  <c r="CT103" i="1"/>
  <c r="CK103" i="1"/>
  <c r="CJ103" i="1"/>
  <c r="CI103" i="1"/>
  <c r="CH103" i="1"/>
  <c r="CG103" i="1"/>
  <c r="CF103" i="1"/>
  <c r="CE103" i="1"/>
  <c r="CD103" i="1"/>
  <c r="CC103" i="1"/>
  <c r="CB103" i="1"/>
  <c r="CA103" i="1"/>
  <c r="BZ103" i="1"/>
  <c r="BY103" i="1"/>
  <c r="BX103" i="1"/>
  <c r="BW103" i="1"/>
  <c r="BV103" i="1"/>
  <c r="BU103" i="1"/>
  <c r="BT103" i="1"/>
  <c r="BS103" i="1"/>
  <c r="BR103" i="1"/>
  <c r="BQ103" i="1"/>
  <c r="BP103" i="1"/>
  <c r="BO103" i="1"/>
  <c r="BN103" i="1"/>
  <c r="BM103" i="1"/>
  <c r="BL103" i="1"/>
  <c r="BK103" i="1"/>
  <c r="BJ103" i="1"/>
  <c r="BI103" i="1"/>
  <c r="BH103" i="1"/>
  <c r="BG103" i="1"/>
  <c r="BF103" i="1"/>
  <c r="BE103" i="1"/>
  <c r="BD103" i="1"/>
  <c r="BC103" i="1"/>
  <c r="BB103" i="1"/>
  <c r="BA103" i="1"/>
  <c r="AZ103" i="1"/>
  <c r="AY103" i="1"/>
  <c r="AX103" i="1"/>
  <c r="AW103" i="1"/>
  <c r="AV103" i="1"/>
  <c r="AU103" i="1"/>
  <c r="AT103" i="1"/>
  <c r="AS103" i="1"/>
  <c r="AR103" i="1"/>
  <c r="AQ103" i="1"/>
  <c r="AP103" i="1"/>
  <c r="AO103" i="1"/>
  <c r="AN103" i="1"/>
  <c r="AM103" i="1"/>
  <c r="AL103" i="1"/>
  <c r="AK103" i="1"/>
  <c r="AJ103" i="1"/>
  <c r="AI103" i="1"/>
  <c r="AH103" i="1"/>
  <c r="AG103" i="1"/>
  <c r="AF103" i="1"/>
  <c r="AE103" i="1"/>
  <c r="AD103" i="1"/>
  <c r="AC103" i="1"/>
  <c r="AB103" i="1"/>
  <c r="AA103" i="1"/>
  <c r="Z103" i="1"/>
  <c r="Y103" i="1"/>
  <c r="X103" i="1"/>
  <c r="W103" i="1"/>
  <c r="V103" i="1"/>
  <c r="U103" i="1"/>
  <c r="T103" i="1"/>
  <c r="S103" i="1"/>
  <c r="R103" i="1"/>
  <c r="Q103" i="1"/>
  <c r="P103" i="1"/>
  <c r="O103" i="1"/>
  <c r="N103" i="1"/>
  <c r="M103" i="1"/>
  <c r="L103" i="1"/>
  <c r="K103" i="1"/>
  <c r="J103" i="1"/>
  <c r="I103" i="1"/>
  <c r="H103" i="1"/>
  <c r="G103" i="1"/>
  <c r="F103" i="1"/>
  <c r="E103" i="1"/>
  <c r="D103" i="1"/>
  <c r="CJ147" i="1"/>
  <c r="CP144" i="1"/>
  <c r="C144" i="1"/>
  <c r="C103" i="1" s="1"/>
  <c r="CJ186" i="1"/>
  <c r="CP183" i="1"/>
  <c r="CP181" i="1"/>
  <c r="CT102" i="1"/>
  <c r="CK102" i="1"/>
  <c r="CJ102" i="1"/>
  <c r="CI102" i="1"/>
  <c r="CH102" i="1"/>
  <c r="CG102" i="1"/>
  <c r="CF102" i="1"/>
  <c r="CE102" i="1"/>
  <c r="CD102" i="1"/>
  <c r="CC102" i="1"/>
  <c r="CB102" i="1"/>
  <c r="CA102" i="1"/>
  <c r="BZ102" i="1"/>
  <c r="BY102" i="1"/>
  <c r="BX102" i="1"/>
  <c r="BW102" i="1"/>
  <c r="BV102" i="1"/>
  <c r="BU102" i="1"/>
  <c r="BT102" i="1"/>
  <c r="BS102" i="1"/>
  <c r="BR102" i="1"/>
  <c r="BQ102" i="1"/>
  <c r="BP102" i="1"/>
  <c r="BO102" i="1"/>
  <c r="BN102" i="1"/>
  <c r="BM102" i="1"/>
  <c r="BL102" i="1"/>
  <c r="BK102" i="1"/>
  <c r="BJ102" i="1"/>
  <c r="BI102" i="1"/>
  <c r="BH102" i="1"/>
  <c r="BG102" i="1"/>
  <c r="BF102" i="1"/>
  <c r="BE102" i="1"/>
  <c r="BD102" i="1"/>
  <c r="BC102" i="1"/>
  <c r="BB102" i="1"/>
  <c r="BA102" i="1"/>
  <c r="AZ102" i="1"/>
  <c r="AY102" i="1"/>
  <c r="AX102" i="1"/>
  <c r="AW102" i="1"/>
  <c r="AV102" i="1"/>
  <c r="AU102" i="1"/>
  <c r="AT102" i="1"/>
  <c r="AS102" i="1"/>
  <c r="AR102" i="1"/>
  <c r="AQ102" i="1"/>
  <c r="AP102" i="1"/>
  <c r="AO102" i="1"/>
  <c r="AN102" i="1"/>
  <c r="AM102" i="1"/>
  <c r="AL102" i="1"/>
  <c r="AK102" i="1"/>
  <c r="AJ102" i="1"/>
  <c r="AI102" i="1"/>
  <c r="AH102" i="1"/>
  <c r="AG102" i="1"/>
  <c r="AF102" i="1"/>
  <c r="AE102" i="1"/>
  <c r="AD102" i="1"/>
  <c r="AC102" i="1"/>
  <c r="AB102" i="1"/>
  <c r="AA102" i="1"/>
  <c r="Z102" i="1"/>
  <c r="Y102" i="1"/>
  <c r="X102" i="1"/>
  <c r="W102" i="1"/>
  <c r="V102" i="1"/>
  <c r="U102" i="1"/>
  <c r="T102" i="1"/>
  <c r="S102" i="1"/>
  <c r="R102" i="1"/>
  <c r="Q102" i="1"/>
  <c r="P102" i="1"/>
  <c r="O102" i="1"/>
  <c r="N102" i="1"/>
  <c r="M102" i="1"/>
  <c r="L102" i="1"/>
  <c r="K102" i="1"/>
  <c r="J102" i="1"/>
  <c r="I102" i="1"/>
  <c r="H102" i="1"/>
  <c r="G102" i="1"/>
  <c r="F102" i="1"/>
  <c r="E102" i="1"/>
  <c r="D102" i="1"/>
  <c r="CT101" i="1"/>
  <c r="CK101" i="1"/>
  <c r="CJ101" i="1"/>
  <c r="CI101" i="1"/>
  <c r="CH101" i="1"/>
  <c r="CG101" i="1"/>
  <c r="CF101" i="1"/>
  <c r="CE101" i="1"/>
  <c r="CD101" i="1"/>
  <c r="CC101" i="1"/>
  <c r="CB101" i="1"/>
  <c r="CA101" i="1"/>
  <c r="BZ101" i="1"/>
  <c r="BY101" i="1"/>
  <c r="BX101" i="1"/>
  <c r="BW101" i="1"/>
  <c r="BV101" i="1"/>
  <c r="BU101" i="1"/>
  <c r="BT101" i="1"/>
  <c r="BS101" i="1"/>
  <c r="BR101" i="1"/>
  <c r="BQ101" i="1"/>
  <c r="BP101" i="1"/>
  <c r="BO101" i="1"/>
  <c r="BN101" i="1"/>
  <c r="BM101" i="1"/>
  <c r="BL101" i="1"/>
  <c r="BK101" i="1"/>
  <c r="BJ101" i="1"/>
  <c r="BI101" i="1"/>
  <c r="BH101" i="1"/>
  <c r="BG101" i="1"/>
  <c r="BF101" i="1"/>
  <c r="BE101" i="1"/>
  <c r="BD101" i="1"/>
  <c r="BC101" i="1"/>
  <c r="BB101" i="1"/>
  <c r="BA101" i="1"/>
  <c r="AZ101" i="1"/>
  <c r="AY101" i="1"/>
  <c r="AX101" i="1"/>
  <c r="AW101" i="1"/>
  <c r="AV101" i="1"/>
  <c r="AU101" i="1"/>
  <c r="AT101" i="1"/>
  <c r="AS101" i="1"/>
  <c r="AR101" i="1"/>
  <c r="AQ101" i="1"/>
  <c r="AP101" i="1"/>
  <c r="AO101" i="1"/>
  <c r="AN101" i="1"/>
  <c r="AM101" i="1"/>
  <c r="AL101" i="1"/>
  <c r="AK101" i="1"/>
  <c r="AJ101" i="1"/>
  <c r="AI101" i="1"/>
  <c r="AH101" i="1"/>
  <c r="AG101" i="1"/>
  <c r="AF101" i="1"/>
  <c r="AE101" i="1"/>
  <c r="AD101" i="1"/>
  <c r="AC101" i="1"/>
  <c r="AB101" i="1"/>
  <c r="AA101" i="1"/>
  <c r="Z101" i="1"/>
  <c r="Y101" i="1"/>
  <c r="X101" i="1"/>
  <c r="W101" i="1"/>
  <c r="V101" i="1"/>
  <c r="U101" i="1"/>
  <c r="T101" i="1"/>
  <c r="S101" i="1"/>
  <c r="R101" i="1"/>
  <c r="Q101" i="1"/>
  <c r="P101" i="1"/>
  <c r="O101" i="1"/>
  <c r="N101" i="1"/>
  <c r="M101" i="1"/>
  <c r="L101" i="1"/>
  <c r="K101" i="1"/>
  <c r="J101" i="1"/>
  <c r="I101" i="1"/>
  <c r="H101" i="1"/>
  <c r="G101" i="1"/>
  <c r="F101" i="1"/>
  <c r="E101" i="1"/>
  <c r="D101" i="1"/>
  <c r="CP143" i="1"/>
  <c r="CP142" i="1"/>
  <c r="CP141" i="1"/>
  <c r="C143" i="1"/>
  <c r="C102" i="1" s="1"/>
  <c r="C142" i="1"/>
  <c r="C101" i="1" s="1"/>
  <c r="E100" i="1"/>
  <c r="CK186" i="1"/>
  <c r="CP182" i="1"/>
  <c r="BP186" i="1"/>
  <c r="BY186" i="1"/>
  <c r="CV101" i="1" s="1"/>
  <c r="CH147" i="1"/>
  <c r="CP113" i="1"/>
  <c r="BV70" i="1"/>
  <c r="BV26" i="1" s="1"/>
  <c r="BW70" i="1"/>
  <c r="BW26" i="1" s="1"/>
  <c r="CK147" i="1"/>
  <c r="CK100" i="1"/>
  <c r="CK99" i="1"/>
  <c r="CK98" i="1"/>
  <c r="CK97" i="1"/>
  <c r="CK96" i="1"/>
  <c r="CK95" i="1"/>
  <c r="CK94" i="1"/>
  <c r="CK93" i="1"/>
  <c r="CK92" i="1"/>
  <c r="CK91" i="1"/>
  <c r="CK90" i="1"/>
  <c r="CK89" i="1"/>
  <c r="CK88" i="1"/>
  <c r="CK87" i="1"/>
  <c r="CK86" i="1"/>
  <c r="CK85" i="1"/>
  <c r="CK84" i="1"/>
  <c r="CK83" i="1"/>
  <c r="CK82" i="1"/>
  <c r="CK81" i="1"/>
  <c r="CK80" i="1"/>
  <c r="CK79" i="1"/>
  <c r="CK78" i="1"/>
  <c r="CK77" i="1"/>
  <c r="CK76" i="1"/>
  <c r="CK75" i="1"/>
  <c r="CK74" i="1"/>
  <c r="CK73" i="1"/>
  <c r="CK72" i="1"/>
  <c r="CK70" i="1"/>
  <c r="CK26" i="1" s="1"/>
  <c r="CK27" i="1"/>
  <c r="CJ100" i="1"/>
  <c r="CJ99" i="1"/>
  <c r="CJ98" i="1"/>
  <c r="CJ97" i="1"/>
  <c r="CJ96" i="1"/>
  <c r="CJ95" i="1"/>
  <c r="CJ94" i="1"/>
  <c r="CJ93" i="1"/>
  <c r="CJ92" i="1"/>
  <c r="CJ91" i="1"/>
  <c r="CJ90" i="1"/>
  <c r="CJ89" i="1"/>
  <c r="CJ88" i="1"/>
  <c r="CJ87" i="1"/>
  <c r="CJ86" i="1"/>
  <c r="CJ85" i="1"/>
  <c r="CJ84" i="1"/>
  <c r="CJ83" i="1"/>
  <c r="CJ82" i="1"/>
  <c r="CJ81" i="1"/>
  <c r="CJ80" i="1"/>
  <c r="CJ79" i="1"/>
  <c r="CJ78" i="1"/>
  <c r="CJ77" i="1"/>
  <c r="CJ76" i="1"/>
  <c r="CJ75" i="1"/>
  <c r="CJ74" i="1"/>
  <c r="CJ73" i="1"/>
  <c r="CJ72" i="1"/>
  <c r="CJ70" i="1"/>
  <c r="CJ26" i="1" s="1"/>
  <c r="CJ27" i="1"/>
  <c r="CI186" i="1"/>
  <c r="CI147" i="1"/>
  <c r="CI100" i="1"/>
  <c r="CI99" i="1"/>
  <c r="CI98" i="1"/>
  <c r="CI97" i="1"/>
  <c r="CI96" i="1"/>
  <c r="CI95" i="1"/>
  <c r="CI94" i="1"/>
  <c r="CI93" i="1"/>
  <c r="CI92" i="1"/>
  <c r="CI91" i="1"/>
  <c r="CI90" i="1"/>
  <c r="CI89" i="1"/>
  <c r="CI88" i="1"/>
  <c r="CI87" i="1"/>
  <c r="CI86" i="1"/>
  <c r="CI85" i="1"/>
  <c r="CI84" i="1"/>
  <c r="CI83" i="1"/>
  <c r="CI82" i="1"/>
  <c r="CI81" i="1"/>
  <c r="CI80" i="1"/>
  <c r="CI79" i="1"/>
  <c r="CI78" i="1"/>
  <c r="CI77" i="1"/>
  <c r="CI76" i="1"/>
  <c r="CI75" i="1"/>
  <c r="CI74" i="1"/>
  <c r="CI73" i="1"/>
  <c r="CI72" i="1"/>
  <c r="CI70" i="1"/>
  <c r="CI26" i="1" s="1"/>
  <c r="CI27" i="1"/>
  <c r="CH186" i="1"/>
  <c r="CH100" i="1"/>
  <c r="CH99" i="1"/>
  <c r="CH98" i="1"/>
  <c r="CH97" i="1"/>
  <c r="CH96" i="1"/>
  <c r="CH95" i="1"/>
  <c r="CH94" i="1"/>
  <c r="CH93" i="1"/>
  <c r="CH92" i="1"/>
  <c r="CH91" i="1"/>
  <c r="CH90" i="1"/>
  <c r="CH89" i="1"/>
  <c r="CH88" i="1"/>
  <c r="CH87" i="1"/>
  <c r="CH86" i="1"/>
  <c r="CH85" i="1"/>
  <c r="CH84" i="1"/>
  <c r="CH83" i="1"/>
  <c r="CH82" i="1"/>
  <c r="CH81" i="1"/>
  <c r="CH80" i="1"/>
  <c r="CH79" i="1"/>
  <c r="CH78" i="1"/>
  <c r="CH77" i="1"/>
  <c r="CH76" i="1"/>
  <c r="CH75" i="1"/>
  <c r="CH74" i="1"/>
  <c r="CH73" i="1"/>
  <c r="CH72" i="1"/>
  <c r="CH70" i="1"/>
  <c r="CH26" i="1" s="1"/>
  <c r="CH27" i="1"/>
  <c r="CG186" i="1"/>
  <c r="CW103" i="1" s="1"/>
  <c r="CG147" i="1"/>
  <c r="CG100" i="1"/>
  <c r="CG99" i="1"/>
  <c r="CG98" i="1"/>
  <c r="CG97" i="1"/>
  <c r="CG96" i="1"/>
  <c r="CG95" i="1"/>
  <c r="CG94" i="1"/>
  <c r="CG93" i="1"/>
  <c r="CG92" i="1"/>
  <c r="CG91" i="1"/>
  <c r="CG90" i="1"/>
  <c r="CG89" i="1"/>
  <c r="CG88" i="1"/>
  <c r="CG87" i="1"/>
  <c r="CG86" i="1"/>
  <c r="CG85" i="1"/>
  <c r="CG84" i="1"/>
  <c r="CG83" i="1"/>
  <c r="CG82" i="1"/>
  <c r="CG81" i="1"/>
  <c r="CG80" i="1"/>
  <c r="CG79" i="1"/>
  <c r="CG78" i="1"/>
  <c r="CG77" i="1"/>
  <c r="CG76" i="1"/>
  <c r="CG75" i="1"/>
  <c r="CG74" i="1"/>
  <c r="CG73" i="1"/>
  <c r="CG72" i="1"/>
  <c r="CG70" i="1"/>
  <c r="CG26" i="1" s="1"/>
  <c r="CG27" i="1"/>
  <c r="CF186" i="1"/>
  <c r="CF147" i="1"/>
  <c r="CF100" i="1"/>
  <c r="CF99" i="1"/>
  <c r="CF98" i="1"/>
  <c r="CF97" i="1"/>
  <c r="CF96" i="1"/>
  <c r="CF95" i="1"/>
  <c r="CF94" i="1"/>
  <c r="CF93" i="1"/>
  <c r="CF92" i="1"/>
  <c r="CF91" i="1"/>
  <c r="CF90" i="1"/>
  <c r="CF89" i="1"/>
  <c r="CF88" i="1"/>
  <c r="CF87" i="1"/>
  <c r="CF86" i="1"/>
  <c r="CF85" i="1"/>
  <c r="CF84" i="1"/>
  <c r="CF83" i="1"/>
  <c r="CF82" i="1"/>
  <c r="CF81" i="1"/>
  <c r="CF80" i="1"/>
  <c r="CF79" i="1"/>
  <c r="CF78" i="1"/>
  <c r="CF77" i="1"/>
  <c r="CF76" i="1"/>
  <c r="CF75" i="1"/>
  <c r="CF74" i="1"/>
  <c r="CF73" i="1"/>
  <c r="CF72" i="1"/>
  <c r="CF70" i="1"/>
  <c r="CF26" i="1" s="1"/>
  <c r="CF27" i="1"/>
  <c r="CE186" i="1"/>
  <c r="CE147" i="1"/>
  <c r="CE100" i="1"/>
  <c r="CE99" i="1"/>
  <c r="CE98" i="1"/>
  <c r="CE97" i="1"/>
  <c r="CE96" i="1"/>
  <c r="CE95" i="1"/>
  <c r="CE94" i="1"/>
  <c r="CE93" i="1"/>
  <c r="CE92" i="1"/>
  <c r="CE91" i="1"/>
  <c r="CE90" i="1"/>
  <c r="CE89" i="1"/>
  <c r="CE88" i="1"/>
  <c r="CE87" i="1"/>
  <c r="CE86" i="1"/>
  <c r="CE85" i="1"/>
  <c r="CE84" i="1"/>
  <c r="CE83" i="1"/>
  <c r="CE82" i="1"/>
  <c r="CE81" i="1"/>
  <c r="CE80" i="1"/>
  <c r="CE79" i="1"/>
  <c r="CE78" i="1"/>
  <c r="CE77" i="1"/>
  <c r="CE76" i="1"/>
  <c r="CE75" i="1"/>
  <c r="CE74" i="1"/>
  <c r="CE73" i="1"/>
  <c r="CE72" i="1"/>
  <c r="CE70" i="1"/>
  <c r="CE26" i="1" s="1"/>
  <c r="CE27" i="1"/>
  <c r="CD186" i="1"/>
  <c r="CD147" i="1"/>
  <c r="CD100" i="1"/>
  <c r="CD99" i="1"/>
  <c r="CD98" i="1"/>
  <c r="CD97" i="1"/>
  <c r="CD96" i="1"/>
  <c r="CD95" i="1"/>
  <c r="CD94" i="1"/>
  <c r="CD93" i="1"/>
  <c r="CD92" i="1"/>
  <c r="CD91" i="1"/>
  <c r="CD90" i="1"/>
  <c r="CD89" i="1"/>
  <c r="CD88" i="1"/>
  <c r="CD87" i="1"/>
  <c r="CD86" i="1"/>
  <c r="CD85" i="1"/>
  <c r="CD84" i="1"/>
  <c r="CD83" i="1"/>
  <c r="CD82" i="1"/>
  <c r="CD81" i="1"/>
  <c r="CD80" i="1"/>
  <c r="CD79" i="1"/>
  <c r="CD78" i="1"/>
  <c r="CD77" i="1"/>
  <c r="CD76" i="1"/>
  <c r="CD75" i="1"/>
  <c r="CD74" i="1"/>
  <c r="CD73" i="1"/>
  <c r="CD72" i="1"/>
  <c r="CD70" i="1"/>
  <c r="CD26" i="1" s="1"/>
  <c r="CD27" i="1"/>
  <c r="CC186" i="1"/>
  <c r="CC147" i="1"/>
  <c r="CC100" i="1"/>
  <c r="CC99" i="1"/>
  <c r="CC98" i="1"/>
  <c r="CC97" i="1"/>
  <c r="CC96" i="1"/>
  <c r="CC95" i="1"/>
  <c r="CC94" i="1"/>
  <c r="CC93" i="1"/>
  <c r="CC92" i="1"/>
  <c r="CC91" i="1"/>
  <c r="CC90" i="1"/>
  <c r="CC89" i="1"/>
  <c r="CC88" i="1"/>
  <c r="CC87" i="1"/>
  <c r="CC86" i="1"/>
  <c r="CC85" i="1"/>
  <c r="CC84" i="1"/>
  <c r="CC83" i="1"/>
  <c r="CC82" i="1"/>
  <c r="CC81" i="1"/>
  <c r="CC80" i="1"/>
  <c r="CC79" i="1"/>
  <c r="CC78" i="1"/>
  <c r="CC77" i="1"/>
  <c r="CC76" i="1"/>
  <c r="CC75" i="1"/>
  <c r="CC74" i="1"/>
  <c r="CC73" i="1"/>
  <c r="CC72" i="1"/>
  <c r="CC70" i="1"/>
  <c r="CC26" i="1" s="1"/>
  <c r="CC27" i="1"/>
  <c r="CB186" i="1"/>
  <c r="CB147" i="1"/>
  <c r="CB100" i="1"/>
  <c r="CB99" i="1"/>
  <c r="CB98" i="1"/>
  <c r="CB97" i="1"/>
  <c r="CB96" i="1"/>
  <c r="CB95" i="1"/>
  <c r="CB94" i="1"/>
  <c r="CB93" i="1"/>
  <c r="CB92" i="1"/>
  <c r="CB91" i="1"/>
  <c r="CB90" i="1"/>
  <c r="CB89" i="1"/>
  <c r="CB88" i="1"/>
  <c r="CB87" i="1"/>
  <c r="CB86" i="1"/>
  <c r="CB85" i="1"/>
  <c r="CB84" i="1"/>
  <c r="CB83" i="1"/>
  <c r="CB82" i="1"/>
  <c r="CB81" i="1"/>
  <c r="CB80" i="1"/>
  <c r="CB79" i="1"/>
  <c r="CB78" i="1"/>
  <c r="CB77" i="1"/>
  <c r="CB76" i="1"/>
  <c r="CB75" i="1"/>
  <c r="CB74" i="1"/>
  <c r="CB73" i="1"/>
  <c r="CB72" i="1"/>
  <c r="CB70" i="1"/>
  <c r="CB26" i="1" s="1"/>
  <c r="CB27" i="1"/>
  <c r="CA186" i="1"/>
  <c r="CA147" i="1"/>
  <c r="CA100" i="1"/>
  <c r="CA99" i="1"/>
  <c r="CA98" i="1"/>
  <c r="CA97" i="1"/>
  <c r="CA96" i="1"/>
  <c r="CA95" i="1"/>
  <c r="CA94" i="1"/>
  <c r="CA93" i="1"/>
  <c r="CA92" i="1"/>
  <c r="CA91" i="1"/>
  <c r="CA90" i="1"/>
  <c r="CA89" i="1"/>
  <c r="CA88" i="1"/>
  <c r="CA87" i="1"/>
  <c r="CA86" i="1"/>
  <c r="CA85" i="1"/>
  <c r="CA84" i="1"/>
  <c r="CA83" i="1"/>
  <c r="CA82" i="1"/>
  <c r="CA81" i="1"/>
  <c r="CA80" i="1"/>
  <c r="CA79" i="1"/>
  <c r="CA78" i="1"/>
  <c r="CA77" i="1"/>
  <c r="CA76" i="1"/>
  <c r="CA75" i="1"/>
  <c r="CA74" i="1"/>
  <c r="CA73" i="1"/>
  <c r="CA72" i="1"/>
  <c r="CA70" i="1"/>
  <c r="CA26" i="1" s="1"/>
  <c r="CA27" i="1"/>
  <c r="BZ186" i="1"/>
  <c r="BZ147" i="1"/>
  <c r="BZ100" i="1"/>
  <c r="BZ99" i="1"/>
  <c r="BZ98" i="1"/>
  <c r="BZ97" i="1"/>
  <c r="BZ96" i="1"/>
  <c r="BZ95" i="1"/>
  <c r="BZ94" i="1"/>
  <c r="BZ93" i="1"/>
  <c r="BZ92" i="1"/>
  <c r="BZ91" i="1"/>
  <c r="BZ90" i="1"/>
  <c r="BZ89" i="1"/>
  <c r="BZ88" i="1"/>
  <c r="BZ87" i="1"/>
  <c r="BZ86" i="1"/>
  <c r="BZ85" i="1"/>
  <c r="BZ84" i="1"/>
  <c r="BZ83" i="1"/>
  <c r="BZ82" i="1"/>
  <c r="BZ81" i="1"/>
  <c r="BZ80" i="1"/>
  <c r="BZ79" i="1"/>
  <c r="BZ78" i="1"/>
  <c r="BZ77" i="1"/>
  <c r="BZ76" i="1"/>
  <c r="BZ75" i="1"/>
  <c r="BZ74" i="1"/>
  <c r="BZ73" i="1"/>
  <c r="BZ72" i="1"/>
  <c r="BZ70" i="1"/>
  <c r="BZ26" i="1" s="1"/>
  <c r="BZ27" i="1"/>
  <c r="BY147" i="1"/>
  <c r="BY100" i="1"/>
  <c r="BY99" i="1"/>
  <c r="BY98" i="1"/>
  <c r="BY97" i="1"/>
  <c r="BY96" i="1"/>
  <c r="BY95" i="1"/>
  <c r="BY94" i="1"/>
  <c r="BY93" i="1"/>
  <c r="BY92" i="1"/>
  <c r="BY91" i="1"/>
  <c r="BY90" i="1"/>
  <c r="BY89" i="1"/>
  <c r="BY88" i="1"/>
  <c r="BY87" i="1"/>
  <c r="BY86" i="1"/>
  <c r="BY85" i="1"/>
  <c r="BY84" i="1"/>
  <c r="BY83" i="1"/>
  <c r="BY82" i="1"/>
  <c r="BY81" i="1"/>
  <c r="BY80" i="1"/>
  <c r="BY79" i="1"/>
  <c r="BY78" i="1"/>
  <c r="BY77" i="1"/>
  <c r="BY76" i="1"/>
  <c r="BY75" i="1"/>
  <c r="BY74" i="1"/>
  <c r="BY73" i="1"/>
  <c r="BY72" i="1"/>
  <c r="BY70" i="1"/>
  <c r="BY26" i="1" s="1"/>
  <c r="BY27" i="1"/>
  <c r="CR13" i="1"/>
  <c r="CR14" i="1" s="1"/>
  <c r="CR15" i="1" s="1"/>
  <c r="CR16" i="1" s="1"/>
  <c r="CR17" i="1" s="1"/>
  <c r="CR18" i="1" s="1"/>
  <c r="D25" i="1"/>
  <c r="E69" i="1"/>
  <c r="F69" i="1" s="1"/>
  <c r="D70" i="1"/>
  <c r="D26" i="1" s="1"/>
  <c r="E70" i="1"/>
  <c r="E26" i="1" s="1"/>
  <c r="F70" i="1"/>
  <c r="F26" i="1" s="1"/>
  <c r="G70" i="1"/>
  <c r="G26" i="1" s="1"/>
  <c r="H70" i="1"/>
  <c r="H26" i="1" s="1"/>
  <c r="I70" i="1"/>
  <c r="I26" i="1" s="1"/>
  <c r="J70" i="1"/>
  <c r="J26" i="1" s="1"/>
  <c r="K70" i="1"/>
  <c r="K26" i="1" s="1"/>
  <c r="L70" i="1"/>
  <c r="L26" i="1" s="1"/>
  <c r="M70" i="1"/>
  <c r="M26" i="1" s="1"/>
  <c r="N70" i="1"/>
  <c r="N26" i="1" s="1"/>
  <c r="O70" i="1"/>
  <c r="O26" i="1" s="1"/>
  <c r="P70" i="1"/>
  <c r="P26" i="1" s="1"/>
  <c r="Q70" i="1"/>
  <c r="Q26" i="1" s="1"/>
  <c r="R70" i="1"/>
  <c r="R26" i="1" s="1"/>
  <c r="S70" i="1"/>
  <c r="S26" i="1" s="1"/>
  <c r="T70" i="1"/>
  <c r="T26" i="1" s="1"/>
  <c r="U70" i="1"/>
  <c r="U26" i="1" s="1"/>
  <c r="V70" i="1"/>
  <c r="V26" i="1" s="1"/>
  <c r="W70" i="1"/>
  <c r="W26" i="1" s="1"/>
  <c r="X70" i="1"/>
  <c r="X26" i="1" s="1"/>
  <c r="Y70" i="1"/>
  <c r="Y26" i="1" s="1"/>
  <c r="Z70" i="1"/>
  <c r="Z26" i="1" s="1"/>
  <c r="AA70" i="1"/>
  <c r="AA26" i="1" s="1"/>
  <c r="AB70" i="1"/>
  <c r="AB26" i="1" s="1"/>
  <c r="AC70" i="1"/>
  <c r="AC26" i="1" s="1"/>
  <c r="AD70" i="1"/>
  <c r="AD26" i="1" s="1"/>
  <c r="AE70" i="1"/>
  <c r="AE26" i="1" s="1"/>
  <c r="AF70" i="1"/>
  <c r="AF26" i="1" s="1"/>
  <c r="AG70" i="1"/>
  <c r="AG26" i="1" s="1"/>
  <c r="AH70" i="1"/>
  <c r="AH26" i="1" s="1"/>
  <c r="AI70" i="1"/>
  <c r="AI26" i="1" s="1"/>
  <c r="AJ70" i="1"/>
  <c r="AJ26" i="1" s="1"/>
  <c r="AK70" i="1"/>
  <c r="AK26" i="1" s="1"/>
  <c r="AL70" i="1"/>
  <c r="AL26" i="1" s="1"/>
  <c r="AM70" i="1"/>
  <c r="AM26" i="1" s="1"/>
  <c r="AN70" i="1"/>
  <c r="AN26" i="1" s="1"/>
  <c r="AO70" i="1"/>
  <c r="AO26" i="1" s="1"/>
  <c r="AP70" i="1"/>
  <c r="AP26" i="1" s="1"/>
  <c r="AQ70" i="1"/>
  <c r="AQ26" i="1" s="1"/>
  <c r="AR70" i="1"/>
  <c r="AR26" i="1" s="1"/>
  <c r="AS70" i="1"/>
  <c r="AS26" i="1" s="1"/>
  <c r="AT70" i="1"/>
  <c r="AT26" i="1" s="1"/>
  <c r="AU70" i="1"/>
  <c r="AU26" i="1" s="1"/>
  <c r="AV70" i="1"/>
  <c r="AV26" i="1" s="1"/>
  <c r="AW70" i="1"/>
  <c r="AW26" i="1" s="1"/>
  <c r="AX70" i="1"/>
  <c r="AX26" i="1" s="1"/>
  <c r="AY70" i="1"/>
  <c r="AY26" i="1" s="1"/>
  <c r="AZ70" i="1"/>
  <c r="AZ26" i="1" s="1"/>
  <c r="BA70" i="1"/>
  <c r="BA26" i="1" s="1"/>
  <c r="BB70" i="1"/>
  <c r="BB26" i="1" s="1"/>
  <c r="BC70" i="1"/>
  <c r="BC26" i="1" s="1"/>
  <c r="BD70" i="1"/>
  <c r="BD26" i="1" s="1"/>
  <c r="BE70" i="1"/>
  <c r="BE26" i="1" s="1"/>
  <c r="BF70" i="1"/>
  <c r="BF26" i="1" s="1"/>
  <c r="BG70" i="1"/>
  <c r="BG26" i="1" s="1"/>
  <c r="BH70" i="1"/>
  <c r="BH26" i="1" s="1"/>
  <c r="BI70" i="1"/>
  <c r="BI26" i="1" s="1"/>
  <c r="BJ70" i="1"/>
  <c r="BJ26" i="1" s="1"/>
  <c r="BK70" i="1"/>
  <c r="BK26" i="1" s="1"/>
  <c r="BL70" i="1"/>
  <c r="BL26" i="1" s="1"/>
  <c r="BM70" i="1"/>
  <c r="BM26" i="1" s="1"/>
  <c r="BN70" i="1"/>
  <c r="BN26" i="1" s="1"/>
  <c r="BO70" i="1"/>
  <c r="BO26" i="1" s="1"/>
  <c r="BP70" i="1"/>
  <c r="BP26" i="1" s="1"/>
  <c r="BQ70" i="1"/>
  <c r="BQ26" i="1" s="1"/>
  <c r="BR70" i="1"/>
  <c r="BR26" i="1" s="1"/>
  <c r="BS70" i="1"/>
  <c r="BS26" i="1" s="1"/>
  <c r="BT70" i="1"/>
  <c r="BT26" i="1" s="1"/>
  <c r="BU70" i="1"/>
  <c r="BU26" i="1" s="1"/>
  <c r="BX70" i="1"/>
  <c r="BX26" i="1" s="1"/>
  <c r="D27" i="1"/>
  <c r="E27" i="1"/>
  <c r="F27" i="1"/>
  <c r="G27" i="1"/>
  <c r="H27" i="1"/>
  <c r="I27" i="1"/>
  <c r="J27" i="1"/>
  <c r="K27" i="1"/>
  <c r="L27" i="1"/>
  <c r="M27" i="1"/>
  <c r="N27" i="1"/>
  <c r="O27" i="1"/>
  <c r="P27" i="1"/>
  <c r="Q27" i="1"/>
  <c r="R27" i="1"/>
  <c r="S27" i="1"/>
  <c r="T27" i="1"/>
  <c r="U27" i="1"/>
  <c r="V27" i="1"/>
  <c r="W27" i="1"/>
  <c r="X27" i="1"/>
  <c r="Y27" i="1"/>
  <c r="Z27" i="1"/>
  <c r="AA27" i="1"/>
  <c r="AB27" i="1"/>
  <c r="AC27" i="1"/>
  <c r="AD27" i="1"/>
  <c r="AE27" i="1"/>
  <c r="AF27" i="1"/>
  <c r="AG27" i="1"/>
  <c r="AH27" i="1"/>
  <c r="AI27" i="1"/>
  <c r="AJ27" i="1"/>
  <c r="AK27" i="1"/>
  <c r="AL27" i="1"/>
  <c r="AM27" i="1"/>
  <c r="AN27" i="1"/>
  <c r="AO27" i="1"/>
  <c r="AP27" i="1"/>
  <c r="AQ27" i="1"/>
  <c r="AR27" i="1"/>
  <c r="AS27" i="1"/>
  <c r="AT27" i="1"/>
  <c r="AU27" i="1"/>
  <c r="AV27" i="1"/>
  <c r="AW27" i="1"/>
  <c r="AX27" i="1"/>
  <c r="AY27" i="1"/>
  <c r="AZ27" i="1"/>
  <c r="BA27" i="1"/>
  <c r="BB27" i="1"/>
  <c r="BC27" i="1"/>
  <c r="BD27" i="1"/>
  <c r="BE27" i="1"/>
  <c r="BF27" i="1"/>
  <c r="BG27" i="1"/>
  <c r="BH27" i="1"/>
  <c r="BI27" i="1"/>
  <c r="BJ27" i="1"/>
  <c r="BK27" i="1"/>
  <c r="BL27" i="1"/>
  <c r="BM27" i="1"/>
  <c r="BN27" i="1"/>
  <c r="BO27" i="1"/>
  <c r="BP27" i="1"/>
  <c r="BQ27" i="1"/>
  <c r="BR27" i="1"/>
  <c r="BS27" i="1"/>
  <c r="BT27" i="1"/>
  <c r="BU27" i="1"/>
  <c r="BV27" i="1"/>
  <c r="BW27" i="1"/>
  <c r="BX27" i="1"/>
  <c r="CP27" i="1"/>
  <c r="CR27" i="1"/>
  <c r="CS27" i="1"/>
  <c r="CT27" i="1"/>
  <c r="CU27" i="1"/>
  <c r="CV27" i="1"/>
  <c r="CW27" i="1"/>
  <c r="CX27" i="1"/>
  <c r="C113" i="1"/>
  <c r="C72" i="1" s="1"/>
  <c r="CP152" i="1"/>
  <c r="CP153" i="1"/>
  <c r="CP114" i="1"/>
  <c r="C114" i="1"/>
  <c r="C73" i="1" s="1"/>
  <c r="C115" i="1"/>
  <c r="C74" i="1" s="1"/>
  <c r="C116" i="1"/>
  <c r="C75" i="1" s="1"/>
  <c r="C117" i="1"/>
  <c r="C76" i="1" s="1"/>
  <c r="C118" i="1"/>
  <c r="C77" i="1" s="1"/>
  <c r="C119" i="1"/>
  <c r="C78" i="1" s="1"/>
  <c r="C120" i="1"/>
  <c r="C79" i="1" s="1"/>
  <c r="C121" i="1"/>
  <c r="C80" i="1" s="1"/>
  <c r="C122" i="1"/>
  <c r="C81" i="1" s="1"/>
  <c r="C123" i="1"/>
  <c r="C82" i="1" s="1"/>
  <c r="C124" i="1"/>
  <c r="C83" i="1" s="1"/>
  <c r="C125" i="1"/>
  <c r="C84" i="1" s="1"/>
  <c r="C126" i="1"/>
  <c r="C85" i="1" s="1"/>
  <c r="C127" i="1"/>
  <c r="C86" i="1" s="1"/>
  <c r="C128" i="1"/>
  <c r="C87" i="1" s="1"/>
  <c r="C129" i="1"/>
  <c r="C88" i="1" s="1"/>
  <c r="C130" i="1"/>
  <c r="C89" i="1" s="1"/>
  <c r="C131" i="1"/>
  <c r="C90" i="1" s="1"/>
  <c r="C132" i="1"/>
  <c r="C91" i="1" s="1"/>
  <c r="C133" i="1"/>
  <c r="C92" i="1" s="1"/>
  <c r="C134" i="1"/>
  <c r="C93" i="1" s="1"/>
  <c r="C135" i="1"/>
  <c r="C94" i="1" s="1"/>
  <c r="C136" i="1"/>
  <c r="C95" i="1" s="1"/>
  <c r="C137" i="1"/>
  <c r="C96" i="1" s="1"/>
  <c r="C138" i="1"/>
  <c r="C97" i="1" s="1"/>
  <c r="C139" i="1"/>
  <c r="C98" i="1" s="1"/>
  <c r="C140" i="1"/>
  <c r="C99" i="1" s="1"/>
  <c r="C141" i="1"/>
  <c r="C100" i="1" s="1"/>
  <c r="CP154" i="1"/>
  <c r="CP115" i="1"/>
  <c r="CP155" i="1"/>
  <c r="CP116" i="1"/>
  <c r="CP156" i="1"/>
  <c r="CP117" i="1"/>
  <c r="CP157" i="1"/>
  <c r="AW118" i="1"/>
  <c r="CP118" i="1" s="1"/>
  <c r="CP158" i="1"/>
  <c r="CP119" i="1"/>
  <c r="CP159" i="1"/>
  <c r="CP120" i="1"/>
  <c r="CP160" i="1"/>
  <c r="CP121" i="1"/>
  <c r="CP161" i="1"/>
  <c r="CP122" i="1"/>
  <c r="CP162" i="1"/>
  <c r="CP123" i="1"/>
  <c r="CP163" i="1"/>
  <c r="CP124" i="1"/>
  <c r="CP164" i="1"/>
  <c r="CP125" i="1"/>
  <c r="CP165" i="1"/>
  <c r="CP126" i="1"/>
  <c r="CP166" i="1"/>
  <c r="CP127" i="1"/>
  <c r="CP167" i="1"/>
  <c r="CP128" i="1"/>
  <c r="CP168" i="1"/>
  <c r="CP129" i="1"/>
  <c r="CP169" i="1"/>
  <c r="CP130" i="1"/>
  <c r="CP170" i="1"/>
  <c r="CP131" i="1"/>
  <c r="CP171" i="1"/>
  <c r="AS186" i="1"/>
  <c r="CW88" i="1" s="1"/>
  <c r="CP172" i="1"/>
  <c r="CP133" i="1"/>
  <c r="CP173" i="1"/>
  <c r="CP134" i="1"/>
  <c r="CP174" i="1"/>
  <c r="CP135" i="1"/>
  <c r="CP175" i="1"/>
  <c r="CP136" i="1"/>
  <c r="CP176" i="1"/>
  <c r="CP137" i="1"/>
  <c r="CP177" i="1"/>
  <c r="CP138" i="1"/>
  <c r="CP178" i="1"/>
  <c r="CP139" i="1"/>
  <c r="CP179" i="1"/>
  <c r="CP140" i="1"/>
  <c r="CP180" i="1"/>
  <c r="D77" i="1"/>
  <c r="E77" i="1"/>
  <c r="F77" i="1"/>
  <c r="G77" i="1"/>
  <c r="H77" i="1"/>
  <c r="I77" i="1"/>
  <c r="J77" i="1"/>
  <c r="K77" i="1"/>
  <c r="L77" i="1"/>
  <c r="M77" i="1"/>
  <c r="N77" i="1"/>
  <c r="O77" i="1"/>
  <c r="P77" i="1"/>
  <c r="Q77" i="1"/>
  <c r="R77" i="1"/>
  <c r="S77" i="1"/>
  <c r="T77" i="1"/>
  <c r="U77" i="1"/>
  <c r="V77" i="1"/>
  <c r="W77" i="1"/>
  <c r="X77" i="1"/>
  <c r="Y77" i="1"/>
  <c r="Z77" i="1"/>
  <c r="AA77" i="1"/>
  <c r="AB77" i="1"/>
  <c r="AC77" i="1"/>
  <c r="AD77" i="1"/>
  <c r="AE77" i="1"/>
  <c r="AF77" i="1"/>
  <c r="AG77" i="1"/>
  <c r="AH77" i="1"/>
  <c r="AI77" i="1"/>
  <c r="AJ77" i="1"/>
  <c r="AK77" i="1"/>
  <c r="AL77" i="1"/>
  <c r="AM77" i="1"/>
  <c r="AN77" i="1"/>
  <c r="AO77" i="1"/>
  <c r="AP77" i="1"/>
  <c r="AQ77" i="1"/>
  <c r="AR77" i="1"/>
  <c r="AS77" i="1"/>
  <c r="AT77" i="1"/>
  <c r="AU77" i="1"/>
  <c r="AV77" i="1"/>
  <c r="AX77" i="1"/>
  <c r="AY77" i="1"/>
  <c r="AZ77" i="1"/>
  <c r="BA77" i="1"/>
  <c r="BB77" i="1"/>
  <c r="BC77" i="1"/>
  <c r="BD77" i="1"/>
  <c r="BE77" i="1"/>
  <c r="BF77" i="1"/>
  <c r="BG77" i="1"/>
  <c r="BH77" i="1"/>
  <c r="BI77" i="1"/>
  <c r="BJ77" i="1"/>
  <c r="BK77" i="1"/>
  <c r="BL77" i="1"/>
  <c r="BM77" i="1"/>
  <c r="BN77" i="1"/>
  <c r="BO77" i="1"/>
  <c r="BP77" i="1"/>
  <c r="BQ77" i="1"/>
  <c r="BR77" i="1"/>
  <c r="BS77" i="1"/>
  <c r="BT77" i="1"/>
  <c r="BU77" i="1"/>
  <c r="BV77" i="1"/>
  <c r="BW77" i="1"/>
  <c r="BX77" i="1"/>
  <c r="K186" i="1"/>
  <c r="W186" i="1"/>
  <c r="AA186" i="1"/>
  <c r="AB186" i="1"/>
  <c r="D186" i="1"/>
  <c r="E186" i="1"/>
  <c r="F186" i="1"/>
  <c r="G186" i="1"/>
  <c r="H186" i="1"/>
  <c r="I186" i="1"/>
  <c r="J186" i="1"/>
  <c r="L186" i="1"/>
  <c r="M186" i="1"/>
  <c r="N186" i="1"/>
  <c r="O186" i="1"/>
  <c r="P186" i="1"/>
  <c r="Q186" i="1"/>
  <c r="R186" i="1"/>
  <c r="S186" i="1"/>
  <c r="T186" i="1"/>
  <c r="U186" i="1"/>
  <c r="V186" i="1"/>
  <c r="X186" i="1"/>
  <c r="CV84" i="1" s="1"/>
  <c r="Y186" i="1"/>
  <c r="Z186" i="1"/>
  <c r="CV86" i="1" s="1"/>
  <c r="AC186" i="1"/>
  <c r="AD186" i="1"/>
  <c r="AE186" i="1"/>
  <c r="AF186" i="1"/>
  <c r="AG186" i="1"/>
  <c r="AH186" i="1"/>
  <c r="AI186" i="1"/>
  <c r="AJ186" i="1"/>
  <c r="AK186" i="1"/>
  <c r="AL186" i="1"/>
  <c r="AM186" i="1"/>
  <c r="AN186" i="1"/>
  <c r="AO186" i="1"/>
  <c r="AP186" i="1"/>
  <c r="AQ186" i="1"/>
  <c r="AR186" i="1"/>
  <c r="AT186" i="1"/>
  <c r="AU186" i="1"/>
  <c r="AV186" i="1"/>
  <c r="AW186" i="1"/>
  <c r="CV92" i="1" s="1"/>
  <c r="AX186" i="1"/>
  <c r="AY186" i="1"/>
  <c r="AZ186" i="1"/>
  <c r="BA186" i="1"/>
  <c r="BB186" i="1"/>
  <c r="BC186" i="1"/>
  <c r="BD186" i="1"/>
  <c r="CV95" i="1" s="1"/>
  <c r="BE186" i="1"/>
  <c r="BF186" i="1"/>
  <c r="BG186" i="1"/>
  <c r="BH186" i="1"/>
  <c r="BI186" i="1"/>
  <c r="BJ186" i="1"/>
  <c r="BK186" i="1"/>
  <c r="BL186" i="1"/>
  <c r="BM186" i="1"/>
  <c r="CV97" i="1" s="1"/>
  <c r="BN186" i="1"/>
  <c r="CW98" i="1" s="1"/>
  <c r="BO186" i="1"/>
  <c r="BQ186" i="1"/>
  <c r="BR186" i="1"/>
  <c r="BS186" i="1"/>
  <c r="BT186" i="1"/>
  <c r="BU186" i="1"/>
  <c r="BV186" i="1"/>
  <c r="BW186" i="1"/>
  <c r="BX186" i="1"/>
  <c r="B29" i="1"/>
  <c r="B30" i="1" s="1"/>
  <c r="B31" i="1" s="1"/>
  <c r="B32" i="1" s="1"/>
  <c r="B33" i="1" s="1"/>
  <c r="B34" i="1" s="1"/>
  <c r="B35" i="1" s="1"/>
  <c r="B36" i="1" s="1"/>
  <c r="B37" i="1" s="1"/>
  <c r="B38" i="1" s="1"/>
  <c r="B39" i="1" s="1"/>
  <c r="B40" i="1" s="1"/>
  <c r="B41" i="1" s="1"/>
  <c r="B42" i="1" s="1"/>
  <c r="B43" i="1" s="1"/>
  <c r="B44" i="1" s="1"/>
  <c r="B45" i="1" s="1"/>
  <c r="B46" i="1" s="1"/>
  <c r="B47" i="1" s="1"/>
  <c r="B48" i="1" s="1"/>
  <c r="B49" i="1" s="1"/>
  <c r="B50" i="1" s="1"/>
  <c r="B51" i="1" s="1"/>
  <c r="B52" i="1" s="1"/>
  <c r="B53" i="1" s="1"/>
  <c r="B54" i="1" s="1"/>
  <c r="B55" i="1" s="1"/>
  <c r="B56" i="1" s="1"/>
  <c r="B57" i="1" s="1"/>
  <c r="B58" i="1" s="1"/>
  <c r="B59" i="1" s="1"/>
  <c r="B60" i="1" s="1"/>
  <c r="D76" i="1"/>
  <c r="E76" i="1"/>
  <c r="F76" i="1"/>
  <c r="G76" i="1"/>
  <c r="H76" i="1"/>
  <c r="I76" i="1"/>
  <c r="J76" i="1"/>
  <c r="K76" i="1"/>
  <c r="L76" i="1"/>
  <c r="M76" i="1"/>
  <c r="N76" i="1"/>
  <c r="O76" i="1"/>
  <c r="P76" i="1"/>
  <c r="Q76" i="1"/>
  <c r="R76" i="1"/>
  <c r="S76" i="1"/>
  <c r="T76" i="1"/>
  <c r="U76" i="1"/>
  <c r="V76" i="1"/>
  <c r="W76" i="1"/>
  <c r="X76" i="1"/>
  <c r="Y76" i="1"/>
  <c r="Z76" i="1"/>
  <c r="AA76" i="1"/>
  <c r="AB76" i="1"/>
  <c r="AC76" i="1"/>
  <c r="AD76" i="1"/>
  <c r="AE76" i="1"/>
  <c r="AF76" i="1"/>
  <c r="AG76" i="1"/>
  <c r="AH76" i="1"/>
  <c r="AI76" i="1"/>
  <c r="AJ76" i="1"/>
  <c r="AK76" i="1"/>
  <c r="AL76" i="1"/>
  <c r="AM76" i="1"/>
  <c r="AN76" i="1"/>
  <c r="AO76" i="1"/>
  <c r="AP76" i="1"/>
  <c r="AQ76" i="1"/>
  <c r="AR76" i="1"/>
  <c r="AS76" i="1"/>
  <c r="AT76" i="1"/>
  <c r="AU76" i="1"/>
  <c r="AV76" i="1"/>
  <c r="AW76" i="1"/>
  <c r="AX76" i="1"/>
  <c r="AY76" i="1"/>
  <c r="AZ76" i="1"/>
  <c r="BA76" i="1"/>
  <c r="BB76" i="1"/>
  <c r="BC76" i="1"/>
  <c r="BD76" i="1"/>
  <c r="BE76" i="1"/>
  <c r="BF76" i="1"/>
  <c r="BG76" i="1"/>
  <c r="BH76" i="1"/>
  <c r="BI76" i="1"/>
  <c r="BJ76" i="1"/>
  <c r="BK76" i="1"/>
  <c r="BL76" i="1"/>
  <c r="BM76" i="1"/>
  <c r="BN76" i="1"/>
  <c r="BO76" i="1"/>
  <c r="BP76" i="1"/>
  <c r="BQ76" i="1"/>
  <c r="BR76" i="1"/>
  <c r="BS76" i="1"/>
  <c r="BT76" i="1"/>
  <c r="BU76" i="1"/>
  <c r="BV76" i="1"/>
  <c r="BW76" i="1"/>
  <c r="BX76" i="1"/>
  <c r="CT76" i="1"/>
  <c r="D72" i="1"/>
  <c r="E72" i="1"/>
  <c r="F72" i="1"/>
  <c r="G72" i="1"/>
  <c r="H72" i="1"/>
  <c r="I72" i="1"/>
  <c r="J72" i="1"/>
  <c r="K72" i="1"/>
  <c r="L72" i="1"/>
  <c r="M72" i="1"/>
  <c r="N72" i="1"/>
  <c r="O72" i="1"/>
  <c r="P72" i="1"/>
  <c r="Q72" i="1"/>
  <c r="R72" i="1"/>
  <c r="S72" i="1"/>
  <c r="T72" i="1"/>
  <c r="U72" i="1"/>
  <c r="V72" i="1"/>
  <c r="W72" i="1"/>
  <c r="X72" i="1"/>
  <c r="Y72" i="1"/>
  <c r="Z72" i="1"/>
  <c r="AA72" i="1"/>
  <c r="AB72" i="1"/>
  <c r="AC72" i="1"/>
  <c r="AD72" i="1"/>
  <c r="AE72" i="1"/>
  <c r="AF72" i="1"/>
  <c r="AG72" i="1"/>
  <c r="AH72" i="1"/>
  <c r="AI72" i="1"/>
  <c r="AJ72" i="1"/>
  <c r="AK72" i="1"/>
  <c r="AL72" i="1"/>
  <c r="AM72" i="1"/>
  <c r="AN72" i="1"/>
  <c r="AO72" i="1"/>
  <c r="AP72" i="1"/>
  <c r="AQ72" i="1"/>
  <c r="AR72" i="1"/>
  <c r="AS72" i="1"/>
  <c r="AT72" i="1"/>
  <c r="AU72" i="1"/>
  <c r="AV72" i="1"/>
  <c r="AW72" i="1"/>
  <c r="AX72" i="1"/>
  <c r="AY72" i="1"/>
  <c r="AZ72" i="1"/>
  <c r="BA72" i="1"/>
  <c r="BB72" i="1"/>
  <c r="BC72" i="1"/>
  <c r="BD72" i="1"/>
  <c r="BE72" i="1"/>
  <c r="BF72" i="1"/>
  <c r="BG72" i="1"/>
  <c r="BH72" i="1"/>
  <c r="BI72" i="1"/>
  <c r="BJ72" i="1"/>
  <c r="BK72" i="1"/>
  <c r="BL72" i="1"/>
  <c r="BM72" i="1"/>
  <c r="BN72" i="1"/>
  <c r="BO72" i="1"/>
  <c r="BP72" i="1"/>
  <c r="BQ72" i="1"/>
  <c r="BR72" i="1"/>
  <c r="BS72" i="1"/>
  <c r="BT72" i="1"/>
  <c r="BU72" i="1"/>
  <c r="BV72" i="1"/>
  <c r="BW72" i="1"/>
  <c r="BX72" i="1"/>
  <c r="CT72" i="1"/>
  <c r="D88" i="1"/>
  <c r="E88" i="1"/>
  <c r="F88" i="1"/>
  <c r="G88" i="1"/>
  <c r="H88" i="1"/>
  <c r="I88" i="1"/>
  <c r="J88" i="1"/>
  <c r="K88" i="1"/>
  <c r="L88" i="1"/>
  <c r="M88" i="1"/>
  <c r="N88" i="1"/>
  <c r="O88" i="1"/>
  <c r="P88" i="1"/>
  <c r="Q88" i="1"/>
  <c r="R88" i="1"/>
  <c r="S88" i="1"/>
  <c r="T88" i="1"/>
  <c r="U88" i="1"/>
  <c r="V88" i="1"/>
  <c r="W88" i="1"/>
  <c r="X88" i="1"/>
  <c r="Y88" i="1"/>
  <c r="Z88" i="1"/>
  <c r="AA88" i="1"/>
  <c r="AB88" i="1"/>
  <c r="AC88" i="1"/>
  <c r="AD88" i="1"/>
  <c r="AE88" i="1"/>
  <c r="AF88" i="1"/>
  <c r="AG88" i="1"/>
  <c r="AH88" i="1"/>
  <c r="AI88" i="1"/>
  <c r="AJ88" i="1"/>
  <c r="AK88" i="1"/>
  <c r="AL88" i="1"/>
  <c r="AM88" i="1"/>
  <c r="AN88" i="1"/>
  <c r="AO88" i="1"/>
  <c r="AP88" i="1"/>
  <c r="AQ88" i="1"/>
  <c r="AR88" i="1"/>
  <c r="AS88" i="1"/>
  <c r="AT88" i="1"/>
  <c r="AU88" i="1"/>
  <c r="AV88" i="1"/>
  <c r="AW88" i="1"/>
  <c r="AX88" i="1"/>
  <c r="AY88" i="1"/>
  <c r="AZ88" i="1"/>
  <c r="BA88" i="1"/>
  <c r="BB88" i="1"/>
  <c r="BC88" i="1"/>
  <c r="BD88" i="1"/>
  <c r="BE88" i="1"/>
  <c r="BF88" i="1"/>
  <c r="BG88" i="1"/>
  <c r="BH88" i="1"/>
  <c r="BI88" i="1"/>
  <c r="BJ88" i="1"/>
  <c r="BK88" i="1"/>
  <c r="BL88" i="1"/>
  <c r="BM88" i="1"/>
  <c r="BN88" i="1"/>
  <c r="BO88" i="1"/>
  <c r="BP88" i="1"/>
  <c r="BQ88" i="1"/>
  <c r="BR88" i="1"/>
  <c r="BS88" i="1"/>
  <c r="BT88" i="1"/>
  <c r="BU88" i="1"/>
  <c r="BV88" i="1"/>
  <c r="BW88" i="1"/>
  <c r="BX88" i="1"/>
  <c r="CT88" i="1"/>
  <c r="D78" i="1"/>
  <c r="E78" i="1"/>
  <c r="F78" i="1"/>
  <c r="G78" i="1"/>
  <c r="H78" i="1"/>
  <c r="I78" i="1"/>
  <c r="J78" i="1"/>
  <c r="K78" i="1"/>
  <c r="L78" i="1"/>
  <c r="M78" i="1"/>
  <c r="N78" i="1"/>
  <c r="O78" i="1"/>
  <c r="P78" i="1"/>
  <c r="Q78" i="1"/>
  <c r="R78" i="1"/>
  <c r="S78" i="1"/>
  <c r="T78" i="1"/>
  <c r="U78" i="1"/>
  <c r="V78" i="1"/>
  <c r="W78" i="1"/>
  <c r="X78" i="1"/>
  <c r="Y78" i="1"/>
  <c r="Z78" i="1"/>
  <c r="AA78" i="1"/>
  <c r="AB78" i="1"/>
  <c r="AC78" i="1"/>
  <c r="AD78" i="1"/>
  <c r="AE78" i="1"/>
  <c r="AF78" i="1"/>
  <c r="AG78" i="1"/>
  <c r="AH78" i="1"/>
  <c r="AI78" i="1"/>
  <c r="AJ78" i="1"/>
  <c r="AK78" i="1"/>
  <c r="AL78" i="1"/>
  <c r="AM78" i="1"/>
  <c r="AN78" i="1"/>
  <c r="AO78" i="1"/>
  <c r="AP78" i="1"/>
  <c r="AQ78" i="1"/>
  <c r="AR78" i="1"/>
  <c r="AS78" i="1"/>
  <c r="AT78" i="1"/>
  <c r="AU78" i="1"/>
  <c r="AV78" i="1"/>
  <c r="AW78" i="1"/>
  <c r="AX78" i="1"/>
  <c r="AY78" i="1"/>
  <c r="AZ78" i="1"/>
  <c r="BA78" i="1"/>
  <c r="BB78" i="1"/>
  <c r="BC78" i="1"/>
  <c r="BD78" i="1"/>
  <c r="BE78" i="1"/>
  <c r="BF78" i="1"/>
  <c r="BG78" i="1"/>
  <c r="BH78" i="1"/>
  <c r="BI78" i="1"/>
  <c r="BJ78" i="1"/>
  <c r="BK78" i="1"/>
  <c r="BL78" i="1"/>
  <c r="BM78" i="1"/>
  <c r="BN78" i="1"/>
  <c r="BO78" i="1"/>
  <c r="BP78" i="1"/>
  <c r="BQ78" i="1"/>
  <c r="BR78" i="1"/>
  <c r="BS78" i="1"/>
  <c r="BT78" i="1"/>
  <c r="BU78" i="1"/>
  <c r="BV78" i="1"/>
  <c r="BW78" i="1"/>
  <c r="BX78" i="1"/>
  <c r="CT78" i="1"/>
  <c r="D82" i="1"/>
  <c r="E82" i="1"/>
  <c r="F82" i="1"/>
  <c r="G82" i="1"/>
  <c r="H82" i="1"/>
  <c r="I82" i="1"/>
  <c r="J82" i="1"/>
  <c r="K82" i="1"/>
  <c r="L82" i="1"/>
  <c r="M82" i="1"/>
  <c r="N82" i="1"/>
  <c r="O82" i="1"/>
  <c r="P82" i="1"/>
  <c r="Q82" i="1"/>
  <c r="R82" i="1"/>
  <c r="S82" i="1"/>
  <c r="T82" i="1"/>
  <c r="U82" i="1"/>
  <c r="V82" i="1"/>
  <c r="W82" i="1"/>
  <c r="X82" i="1"/>
  <c r="Y82" i="1"/>
  <c r="Z82" i="1"/>
  <c r="AA82" i="1"/>
  <c r="AB82" i="1"/>
  <c r="AC82" i="1"/>
  <c r="AD82" i="1"/>
  <c r="AE82" i="1"/>
  <c r="AF82" i="1"/>
  <c r="AG82" i="1"/>
  <c r="AH82" i="1"/>
  <c r="AI82" i="1"/>
  <c r="AJ82" i="1"/>
  <c r="AK82" i="1"/>
  <c r="AL82" i="1"/>
  <c r="AM82" i="1"/>
  <c r="AN82" i="1"/>
  <c r="AO82" i="1"/>
  <c r="AP82" i="1"/>
  <c r="AQ82" i="1"/>
  <c r="AR82" i="1"/>
  <c r="AS82" i="1"/>
  <c r="AT82" i="1"/>
  <c r="AU82" i="1"/>
  <c r="AV82" i="1"/>
  <c r="AW82" i="1"/>
  <c r="AX82" i="1"/>
  <c r="AY82" i="1"/>
  <c r="AZ82" i="1"/>
  <c r="BA82" i="1"/>
  <c r="BB82" i="1"/>
  <c r="BC82" i="1"/>
  <c r="BD82" i="1"/>
  <c r="BE82" i="1"/>
  <c r="BF82" i="1"/>
  <c r="BG82" i="1"/>
  <c r="BH82" i="1"/>
  <c r="BI82" i="1"/>
  <c r="BJ82" i="1"/>
  <c r="BK82" i="1"/>
  <c r="BL82" i="1"/>
  <c r="BM82" i="1"/>
  <c r="BN82" i="1"/>
  <c r="BO82" i="1"/>
  <c r="BP82" i="1"/>
  <c r="BQ82" i="1"/>
  <c r="BR82" i="1"/>
  <c r="BS82" i="1"/>
  <c r="BT82" i="1"/>
  <c r="BU82" i="1"/>
  <c r="BV82" i="1"/>
  <c r="BW82" i="1"/>
  <c r="BX82" i="1"/>
  <c r="CT82" i="1"/>
  <c r="D94" i="1"/>
  <c r="E94" i="1"/>
  <c r="F94" i="1"/>
  <c r="G94" i="1"/>
  <c r="H94" i="1"/>
  <c r="I94" i="1"/>
  <c r="J94" i="1"/>
  <c r="K94" i="1"/>
  <c r="L94" i="1"/>
  <c r="M94" i="1"/>
  <c r="N94" i="1"/>
  <c r="O94" i="1"/>
  <c r="P94" i="1"/>
  <c r="Q94" i="1"/>
  <c r="R94" i="1"/>
  <c r="S94" i="1"/>
  <c r="T94" i="1"/>
  <c r="U94" i="1"/>
  <c r="V94" i="1"/>
  <c r="W94" i="1"/>
  <c r="X94" i="1"/>
  <c r="Y94" i="1"/>
  <c r="Z94" i="1"/>
  <c r="AA94" i="1"/>
  <c r="AB94" i="1"/>
  <c r="AC94" i="1"/>
  <c r="AD94" i="1"/>
  <c r="AE94" i="1"/>
  <c r="AF94" i="1"/>
  <c r="AG94" i="1"/>
  <c r="AH94" i="1"/>
  <c r="AI94" i="1"/>
  <c r="AJ94" i="1"/>
  <c r="AK94" i="1"/>
  <c r="AL94" i="1"/>
  <c r="AM94" i="1"/>
  <c r="AN94" i="1"/>
  <c r="AO94" i="1"/>
  <c r="AP94" i="1"/>
  <c r="AQ94" i="1"/>
  <c r="AR94" i="1"/>
  <c r="AS94" i="1"/>
  <c r="AT94" i="1"/>
  <c r="AU94" i="1"/>
  <c r="AV94" i="1"/>
  <c r="AW94" i="1"/>
  <c r="AX94" i="1"/>
  <c r="AY94" i="1"/>
  <c r="AZ94" i="1"/>
  <c r="BA94" i="1"/>
  <c r="BB94" i="1"/>
  <c r="BC94" i="1"/>
  <c r="BD94" i="1"/>
  <c r="BE94" i="1"/>
  <c r="BF94" i="1"/>
  <c r="BG94" i="1"/>
  <c r="BH94" i="1"/>
  <c r="BI94" i="1"/>
  <c r="BJ94" i="1"/>
  <c r="BK94" i="1"/>
  <c r="BL94" i="1"/>
  <c r="BM94" i="1"/>
  <c r="BN94" i="1"/>
  <c r="BO94" i="1"/>
  <c r="BP94" i="1"/>
  <c r="BQ94" i="1"/>
  <c r="BR94" i="1"/>
  <c r="BS94" i="1"/>
  <c r="BT94" i="1"/>
  <c r="BU94" i="1"/>
  <c r="BV94" i="1"/>
  <c r="BW94" i="1"/>
  <c r="BX94" i="1"/>
  <c r="CT94" i="1"/>
  <c r="D91" i="1"/>
  <c r="E91" i="1"/>
  <c r="F91" i="1"/>
  <c r="G91" i="1"/>
  <c r="H91" i="1"/>
  <c r="I91" i="1"/>
  <c r="J91" i="1"/>
  <c r="K91" i="1"/>
  <c r="L91" i="1"/>
  <c r="M91" i="1"/>
  <c r="N91" i="1"/>
  <c r="O91" i="1"/>
  <c r="P91" i="1"/>
  <c r="Q91" i="1"/>
  <c r="R91" i="1"/>
  <c r="S91" i="1"/>
  <c r="T91" i="1"/>
  <c r="U91" i="1"/>
  <c r="V91" i="1"/>
  <c r="W91" i="1"/>
  <c r="X91" i="1"/>
  <c r="Y91" i="1"/>
  <c r="Z91" i="1"/>
  <c r="AA91" i="1"/>
  <c r="AB91" i="1"/>
  <c r="AC91" i="1"/>
  <c r="AD91" i="1"/>
  <c r="AE91" i="1"/>
  <c r="AF91" i="1"/>
  <c r="AG91" i="1"/>
  <c r="AH91" i="1"/>
  <c r="AI91" i="1"/>
  <c r="AJ91" i="1"/>
  <c r="AK91" i="1"/>
  <c r="AL91" i="1"/>
  <c r="AM91" i="1"/>
  <c r="AN91" i="1"/>
  <c r="AO91" i="1"/>
  <c r="AP91" i="1"/>
  <c r="AQ91" i="1"/>
  <c r="AR91" i="1"/>
  <c r="AT91" i="1"/>
  <c r="AU91" i="1"/>
  <c r="AV91" i="1"/>
  <c r="AW91" i="1"/>
  <c r="AX91" i="1"/>
  <c r="AY91" i="1"/>
  <c r="AZ91" i="1"/>
  <c r="BA91" i="1"/>
  <c r="BB91" i="1"/>
  <c r="BC91" i="1"/>
  <c r="BD91" i="1"/>
  <c r="BE91" i="1"/>
  <c r="BF91" i="1"/>
  <c r="BG91" i="1"/>
  <c r="BH91" i="1"/>
  <c r="BI91" i="1"/>
  <c r="BJ91" i="1"/>
  <c r="BK91" i="1"/>
  <c r="BL91" i="1"/>
  <c r="BM91" i="1"/>
  <c r="BN91" i="1"/>
  <c r="BO91" i="1"/>
  <c r="BP91" i="1"/>
  <c r="BQ91" i="1"/>
  <c r="BR91" i="1"/>
  <c r="BS91" i="1"/>
  <c r="BT91" i="1"/>
  <c r="BU91" i="1"/>
  <c r="BV91" i="1"/>
  <c r="BW91" i="1"/>
  <c r="BX91" i="1"/>
  <c r="D80" i="1"/>
  <c r="E80" i="1"/>
  <c r="F80" i="1"/>
  <c r="G80" i="1"/>
  <c r="H80" i="1"/>
  <c r="I80" i="1"/>
  <c r="J80" i="1"/>
  <c r="K80" i="1"/>
  <c r="L80" i="1"/>
  <c r="M80" i="1"/>
  <c r="N80" i="1"/>
  <c r="O80" i="1"/>
  <c r="P80" i="1"/>
  <c r="Q80" i="1"/>
  <c r="R80" i="1"/>
  <c r="S80" i="1"/>
  <c r="T80" i="1"/>
  <c r="U80" i="1"/>
  <c r="V80" i="1"/>
  <c r="W80" i="1"/>
  <c r="X80" i="1"/>
  <c r="Y80" i="1"/>
  <c r="Z80" i="1"/>
  <c r="AA80" i="1"/>
  <c r="AB80" i="1"/>
  <c r="AC80" i="1"/>
  <c r="AD80" i="1"/>
  <c r="AE80" i="1"/>
  <c r="AF80" i="1"/>
  <c r="AG80" i="1"/>
  <c r="AH80" i="1"/>
  <c r="AI80" i="1"/>
  <c r="AJ80" i="1"/>
  <c r="AK80" i="1"/>
  <c r="AL80" i="1"/>
  <c r="AM80" i="1"/>
  <c r="AN80" i="1"/>
  <c r="AO80" i="1"/>
  <c r="AP80" i="1"/>
  <c r="AQ80" i="1"/>
  <c r="AR80" i="1"/>
  <c r="AS80" i="1"/>
  <c r="AT80" i="1"/>
  <c r="AU80" i="1"/>
  <c r="AV80" i="1"/>
  <c r="AW80" i="1"/>
  <c r="AX80" i="1"/>
  <c r="AY80" i="1"/>
  <c r="AZ80" i="1"/>
  <c r="BA80" i="1"/>
  <c r="BB80" i="1"/>
  <c r="BC80" i="1"/>
  <c r="BD80" i="1"/>
  <c r="BE80" i="1"/>
  <c r="BF80" i="1"/>
  <c r="BG80" i="1"/>
  <c r="BH80" i="1"/>
  <c r="BI80" i="1"/>
  <c r="BJ80" i="1"/>
  <c r="BK80" i="1"/>
  <c r="BL80" i="1"/>
  <c r="BM80" i="1"/>
  <c r="BN80" i="1"/>
  <c r="BO80" i="1"/>
  <c r="BP80" i="1"/>
  <c r="BQ80" i="1"/>
  <c r="BR80" i="1"/>
  <c r="BS80" i="1"/>
  <c r="BT80" i="1"/>
  <c r="BU80" i="1"/>
  <c r="BV80" i="1"/>
  <c r="BW80" i="1"/>
  <c r="BX80" i="1"/>
  <c r="CT80" i="1"/>
  <c r="D84" i="1"/>
  <c r="E84" i="1"/>
  <c r="F84" i="1"/>
  <c r="G84" i="1"/>
  <c r="H84" i="1"/>
  <c r="I84" i="1"/>
  <c r="J84" i="1"/>
  <c r="K84" i="1"/>
  <c r="L84" i="1"/>
  <c r="M84" i="1"/>
  <c r="N84" i="1"/>
  <c r="O84" i="1"/>
  <c r="P84" i="1"/>
  <c r="Q84" i="1"/>
  <c r="R84" i="1"/>
  <c r="S84" i="1"/>
  <c r="T84" i="1"/>
  <c r="U84" i="1"/>
  <c r="V84" i="1"/>
  <c r="W84" i="1"/>
  <c r="X84" i="1"/>
  <c r="Y84" i="1"/>
  <c r="Z84" i="1"/>
  <c r="AA84" i="1"/>
  <c r="AB84" i="1"/>
  <c r="AC84" i="1"/>
  <c r="AD84" i="1"/>
  <c r="AE84" i="1"/>
  <c r="AF84" i="1"/>
  <c r="AG84" i="1"/>
  <c r="AH84" i="1"/>
  <c r="AI84" i="1"/>
  <c r="AJ84" i="1"/>
  <c r="AK84" i="1"/>
  <c r="AL84" i="1"/>
  <c r="AM84" i="1"/>
  <c r="AN84" i="1"/>
  <c r="AO84" i="1"/>
  <c r="AP84" i="1"/>
  <c r="AQ84" i="1"/>
  <c r="AR84" i="1"/>
  <c r="AS84" i="1"/>
  <c r="AT84" i="1"/>
  <c r="AU84" i="1"/>
  <c r="AV84" i="1"/>
  <c r="AW84" i="1"/>
  <c r="AX84" i="1"/>
  <c r="AY84" i="1"/>
  <c r="AZ84" i="1"/>
  <c r="BA84" i="1"/>
  <c r="BB84" i="1"/>
  <c r="BC84" i="1"/>
  <c r="BD84" i="1"/>
  <c r="BE84" i="1"/>
  <c r="BF84" i="1"/>
  <c r="BG84" i="1"/>
  <c r="BH84" i="1"/>
  <c r="BI84" i="1"/>
  <c r="BJ84" i="1"/>
  <c r="BK84" i="1"/>
  <c r="BL84" i="1"/>
  <c r="BM84" i="1"/>
  <c r="BN84" i="1"/>
  <c r="BO84" i="1"/>
  <c r="BP84" i="1"/>
  <c r="BQ84" i="1"/>
  <c r="BR84" i="1"/>
  <c r="BS84" i="1"/>
  <c r="BT84" i="1"/>
  <c r="BU84" i="1"/>
  <c r="BV84" i="1"/>
  <c r="BW84" i="1"/>
  <c r="BX84" i="1"/>
  <c r="CT84" i="1"/>
  <c r="D85" i="1"/>
  <c r="E85" i="1"/>
  <c r="F85" i="1"/>
  <c r="G85" i="1"/>
  <c r="H85" i="1"/>
  <c r="I85" i="1"/>
  <c r="J85" i="1"/>
  <c r="K85" i="1"/>
  <c r="L85" i="1"/>
  <c r="M85" i="1"/>
  <c r="N85" i="1"/>
  <c r="O85" i="1"/>
  <c r="P85" i="1"/>
  <c r="Q85" i="1"/>
  <c r="R85" i="1"/>
  <c r="S85" i="1"/>
  <c r="T85" i="1"/>
  <c r="U85" i="1"/>
  <c r="V85" i="1"/>
  <c r="W85" i="1"/>
  <c r="X85" i="1"/>
  <c r="Y85" i="1"/>
  <c r="Z85" i="1"/>
  <c r="AA85" i="1"/>
  <c r="AB85" i="1"/>
  <c r="AC85" i="1"/>
  <c r="AD85" i="1"/>
  <c r="AE85" i="1"/>
  <c r="AF85" i="1"/>
  <c r="AG85" i="1"/>
  <c r="AH85" i="1"/>
  <c r="AI85" i="1"/>
  <c r="AJ85" i="1"/>
  <c r="AK85" i="1"/>
  <c r="AL85" i="1"/>
  <c r="AM85" i="1"/>
  <c r="AN85" i="1"/>
  <c r="AO85" i="1"/>
  <c r="AP85" i="1"/>
  <c r="AQ85" i="1"/>
  <c r="AR85" i="1"/>
  <c r="AS85" i="1"/>
  <c r="AT85" i="1"/>
  <c r="AU85" i="1"/>
  <c r="AV85" i="1"/>
  <c r="AW85" i="1"/>
  <c r="AX85" i="1"/>
  <c r="AY85" i="1"/>
  <c r="AZ85" i="1"/>
  <c r="BA85" i="1"/>
  <c r="BB85" i="1"/>
  <c r="BC85" i="1"/>
  <c r="BD85" i="1"/>
  <c r="BE85" i="1"/>
  <c r="BF85" i="1"/>
  <c r="BG85" i="1"/>
  <c r="BH85" i="1"/>
  <c r="BI85" i="1"/>
  <c r="BJ85" i="1"/>
  <c r="BK85" i="1"/>
  <c r="BL85" i="1"/>
  <c r="BM85" i="1"/>
  <c r="BN85" i="1"/>
  <c r="BO85" i="1"/>
  <c r="BP85" i="1"/>
  <c r="BQ85" i="1"/>
  <c r="BR85" i="1"/>
  <c r="BS85" i="1"/>
  <c r="BT85" i="1"/>
  <c r="BU85" i="1"/>
  <c r="BV85" i="1"/>
  <c r="BW85" i="1"/>
  <c r="BX85" i="1"/>
  <c r="CT85" i="1"/>
  <c r="D86" i="1"/>
  <c r="E86" i="1"/>
  <c r="F86" i="1"/>
  <c r="G86" i="1"/>
  <c r="H86" i="1"/>
  <c r="I86" i="1"/>
  <c r="J86" i="1"/>
  <c r="K86" i="1"/>
  <c r="L86" i="1"/>
  <c r="M86" i="1"/>
  <c r="N86" i="1"/>
  <c r="O86" i="1"/>
  <c r="P86" i="1"/>
  <c r="Q86" i="1"/>
  <c r="R86" i="1"/>
  <c r="S86" i="1"/>
  <c r="T86" i="1"/>
  <c r="U86" i="1"/>
  <c r="V86" i="1"/>
  <c r="W86" i="1"/>
  <c r="X86" i="1"/>
  <c r="Y86" i="1"/>
  <c r="Z86" i="1"/>
  <c r="AA86" i="1"/>
  <c r="AB86" i="1"/>
  <c r="AC86" i="1"/>
  <c r="AD86" i="1"/>
  <c r="AE86" i="1"/>
  <c r="AF86" i="1"/>
  <c r="AG86" i="1"/>
  <c r="AH86" i="1"/>
  <c r="AI86" i="1"/>
  <c r="AJ86" i="1"/>
  <c r="AK86" i="1"/>
  <c r="AL86" i="1"/>
  <c r="AM86" i="1"/>
  <c r="AN86" i="1"/>
  <c r="AO86" i="1"/>
  <c r="AP86" i="1"/>
  <c r="AQ86" i="1"/>
  <c r="AR86" i="1"/>
  <c r="AS86" i="1"/>
  <c r="AT86" i="1"/>
  <c r="AU86" i="1"/>
  <c r="AV86" i="1"/>
  <c r="AW86" i="1"/>
  <c r="AX86" i="1"/>
  <c r="AY86" i="1"/>
  <c r="AZ86" i="1"/>
  <c r="BA86" i="1"/>
  <c r="BB86" i="1"/>
  <c r="BC86" i="1"/>
  <c r="BD86" i="1"/>
  <c r="BE86" i="1"/>
  <c r="BF86" i="1"/>
  <c r="BG86" i="1"/>
  <c r="BH86" i="1"/>
  <c r="BI86" i="1"/>
  <c r="BJ86" i="1"/>
  <c r="BK86" i="1"/>
  <c r="BL86" i="1"/>
  <c r="BM86" i="1"/>
  <c r="BN86" i="1"/>
  <c r="BO86" i="1"/>
  <c r="BP86" i="1"/>
  <c r="BQ86" i="1"/>
  <c r="BR86" i="1"/>
  <c r="BS86" i="1"/>
  <c r="BT86" i="1"/>
  <c r="BU86" i="1"/>
  <c r="BV86" i="1"/>
  <c r="BW86" i="1"/>
  <c r="BX86" i="1"/>
  <c r="CT86" i="1"/>
  <c r="D93" i="1"/>
  <c r="E93" i="1"/>
  <c r="F93" i="1"/>
  <c r="G93" i="1"/>
  <c r="H93" i="1"/>
  <c r="I93" i="1"/>
  <c r="J93" i="1"/>
  <c r="K93" i="1"/>
  <c r="L93" i="1"/>
  <c r="M93" i="1"/>
  <c r="N93" i="1"/>
  <c r="O93" i="1"/>
  <c r="P93" i="1"/>
  <c r="Q93" i="1"/>
  <c r="R93" i="1"/>
  <c r="S93" i="1"/>
  <c r="T93" i="1"/>
  <c r="U93" i="1"/>
  <c r="V93" i="1"/>
  <c r="W93" i="1"/>
  <c r="X93" i="1"/>
  <c r="Y93" i="1"/>
  <c r="Z93" i="1"/>
  <c r="AA93" i="1"/>
  <c r="AB93" i="1"/>
  <c r="AC93" i="1"/>
  <c r="AD93" i="1"/>
  <c r="AE93" i="1"/>
  <c r="AF93" i="1"/>
  <c r="AG93" i="1"/>
  <c r="AH93" i="1"/>
  <c r="AI93" i="1"/>
  <c r="AJ93" i="1"/>
  <c r="AK93" i="1"/>
  <c r="AL93" i="1"/>
  <c r="AM93" i="1"/>
  <c r="AN93" i="1"/>
  <c r="AO93" i="1"/>
  <c r="AP93" i="1"/>
  <c r="AQ93" i="1"/>
  <c r="AR93" i="1"/>
  <c r="AS93" i="1"/>
  <c r="AT93" i="1"/>
  <c r="AU93" i="1"/>
  <c r="AV93" i="1"/>
  <c r="AW93" i="1"/>
  <c r="AX93" i="1"/>
  <c r="AY93" i="1"/>
  <c r="AZ93" i="1"/>
  <c r="BA93" i="1"/>
  <c r="BB93" i="1"/>
  <c r="BC93" i="1"/>
  <c r="BD93" i="1"/>
  <c r="BE93" i="1"/>
  <c r="BF93" i="1"/>
  <c r="BG93" i="1"/>
  <c r="BH93" i="1"/>
  <c r="BI93" i="1"/>
  <c r="BJ93" i="1"/>
  <c r="BK93" i="1"/>
  <c r="BL93" i="1"/>
  <c r="BM93" i="1"/>
  <c r="BN93" i="1"/>
  <c r="BO93" i="1"/>
  <c r="BP93" i="1"/>
  <c r="BQ93" i="1"/>
  <c r="BR93" i="1"/>
  <c r="BS93" i="1"/>
  <c r="BT93" i="1"/>
  <c r="BU93" i="1"/>
  <c r="BV93" i="1"/>
  <c r="BW93" i="1"/>
  <c r="BX93" i="1"/>
  <c r="CT93" i="1"/>
  <c r="D73" i="1"/>
  <c r="E73" i="1"/>
  <c r="F73" i="1"/>
  <c r="G73" i="1"/>
  <c r="H73" i="1"/>
  <c r="I73" i="1"/>
  <c r="J73" i="1"/>
  <c r="K73" i="1"/>
  <c r="L73" i="1"/>
  <c r="M73" i="1"/>
  <c r="N73" i="1"/>
  <c r="O73" i="1"/>
  <c r="P73" i="1"/>
  <c r="Q73" i="1"/>
  <c r="R73" i="1"/>
  <c r="S73" i="1"/>
  <c r="T73" i="1"/>
  <c r="U73" i="1"/>
  <c r="V73" i="1"/>
  <c r="W73" i="1"/>
  <c r="X73" i="1"/>
  <c r="Y73" i="1"/>
  <c r="Z73" i="1"/>
  <c r="AA73" i="1"/>
  <c r="AB73" i="1"/>
  <c r="AC73" i="1"/>
  <c r="AD73" i="1"/>
  <c r="AE73" i="1"/>
  <c r="AF73" i="1"/>
  <c r="AG73" i="1"/>
  <c r="AH73" i="1"/>
  <c r="AI73" i="1"/>
  <c r="AJ73" i="1"/>
  <c r="AK73" i="1"/>
  <c r="AL73" i="1"/>
  <c r="AM73" i="1"/>
  <c r="AN73" i="1"/>
  <c r="AO73" i="1"/>
  <c r="AP73" i="1"/>
  <c r="AQ73" i="1"/>
  <c r="AR73" i="1"/>
  <c r="AS73" i="1"/>
  <c r="AT73" i="1"/>
  <c r="AU73" i="1"/>
  <c r="AV73" i="1"/>
  <c r="AW73" i="1"/>
  <c r="AX73" i="1"/>
  <c r="AY73" i="1"/>
  <c r="AZ73" i="1"/>
  <c r="BA73" i="1"/>
  <c r="BB73" i="1"/>
  <c r="BC73" i="1"/>
  <c r="BD73" i="1"/>
  <c r="BE73" i="1"/>
  <c r="BF73" i="1"/>
  <c r="BG73" i="1"/>
  <c r="BH73" i="1"/>
  <c r="BI73" i="1"/>
  <c r="BJ73" i="1"/>
  <c r="BK73" i="1"/>
  <c r="BL73" i="1"/>
  <c r="BM73" i="1"/>
  <c r="BN73" i="1"/>
  <c r="BO73" i="1"/>
  <c r="BP73" i="1"/>
  <c r="BQ73" i="1"/>
  <c r="BR73" i="1"/>
  <c r="BS73" i="1"/>
  <c r="BT73" i="1"/>
  <c r="BU73" i="1"/>
  <c r="BV73" i="1"/>
  <c r="BW73" i="1"/>
  <c r="BX73" i="1"/>
  <c r="CT73" i="1"/>
  <c r="D96" i="1"/>
  <c r="E96" i="1"/>
  <c r="F96" i="1"/>
  <c r="G96" i="1"/>
  <c r="H96" i="1"/>
  <c r="I96" i="1"/>
  <c r="J96" i="1"/>
  <c r="K96" i="1"/>
  <c r="L96" i="1"/>
  <c r="M96" i="1"/>
  <c r="N96" i="1"/>
  <c r="O96" i="1"/>
  <c r="P96" i="1"/>
  <c r="Q96" i="1"/>
  <c r="R96" i="1"/>
  <c r="S96" i="1"/>
  <c r="T96" i="1"/>
  <c r="U96" i="1"/>
  <c r="V96" i="1"/>
  <c r="W96" i="1"/>
  <c r="X96" i="1"/>
  <c r="Y96" i="1"/>
  <c r="Z96" i="1"/>
  <c r="AA96" i="1"/>
  <c r="AB96" i="1"/>
  <c r="AC96" i="1"/>
  <c r="AD96" i="1"/>
  <c r="AE96" i="1"/>
  <c r="AF96" i="1"/>
  <c r="AG96" i="1"/>
  <c r="AH96" i="1"/>
  <c r="AI96" i="1"/>
  <c r="AJ96" i="1"/>
  <c r="AK96" i="1"/>
  <c r="AL96" i="1"/>
  <c r="AM96" i="1"/>
  <c r="AN96" i="1"/>
  <c r="AO96" i="1"/>
  <c r="AP96" i="1"/>
  <c r="AQ96" i="1"/>
  <c r="AR96" i="1"/>
  <c r="AS96" i="1"/>
  <c r="AT96" i="1"/>
  <c r="AU96" i="1"/>
  <c r="AV96" i="1"/>
  <c r="AW96" i="1"/>
  <c r="AX96" i="1"/>
  <c r="AY96" i="1"/>
  <c r="AZ96" i="1"/>
  <c r="BA96" i="1"/>
  <c r="BB96" i="1"/>
  <c r="BC96" i="1"/>
  <c r="BD96" i="1"/>
  <c r="BE96" i="1"/>
  <c r="BF96" i="1"/>
  <c r="BG96" i="1"/>
  <c r="BH96" i="1"/>
  <c r="BI96" i="1"/>
  <c r="BJ96" i="1"/>
  <c r="BK96" i="1"/>
  <c r="BL96" i="1"/>
  <c r="BM96" i="1"/>
  <c r="BN96" i="1"/>
  <c r="BO96" i="1"/>
  <c r="BP96" i="1"/>
  <c r="BQ96" i="1"/>
  <c r="BR96" i="1"/>
  <c r="BS96" i="1"/>
  <c r="BT96" i="1"/>
  <c r="BU96" i="1"/>
  <c r="BV96" i="1"/>
  <c r="BW96" i="1"/>
  <c r="BX96" i="1"/>
  <c r="CT96" i="1"/>
  <c r="D97" i="1"/>
  <c r="E97" i="1"/>
  <c r="F97" i="1"/>
  <c r="G97" i="1"/>
  <c r="H97" i="1"/>
  <c r="I97" i="1"/>
  <c r="J97" i="1"/>
  <c r="K97" i="1"/>
  <c r="L97" i="1"/>
  <c r="M97" i="1"/>
  <c r="N97" i="1"/>
  <c r="O97" i="1"/>
  <c r="P97" i="1"/>
  <c r="Q97" i="1"/>
  <c r="R97" i="1"/>
  <c r="S97" i="1"/>
  <c r="T97" i="1"/>
  <c r="U97" i="1"/>
  <c r="V97" i="1"/>
  <c r="W97" i="1"/>
  <c r="X97" i="1"/>
  <c r="Y97" i="1"/>
  <c r="Z97" i="1"/>
  <c r="AA97" i="1"/>
  <c r="AB97" i="1"/>
  <c r="AC97" i="1"/>
  <c r="AD97" i="1"/>
  <c r="AE97" i="1"/>
  <c r="AF97" i="1"/>
  <c r="AG97" i="1"/>
  <c r="AH97" i="1"/>
  <c r="AI97" i="1"/>
  <c r="AJ97" i="1"/>
  <c r="AK97" i="1"/>
  <c r="AL97" i="1"/>
  <c r="AM97" i="1"/>
  <c r="AN97" i="1"/>
  <c r="AO97" i="1"/>
  <c r="AP97" i="1"/>
  <c r="AQ97" i="1"/>
  <c r="AR97" i="1"/>
  <c r="AS97" i="1"/>
  <c r="AT97" i="1"/>
  <c r="AU97" i="1"/>
  <c r="AV97" i="1"/>
  <c r="AW97" i="1"/>
  <c r="AX97" i="1"/>
  <c r="AY97" i="1"/>
  <c r="AZ97" i="1"/>
  <c r="BA97" i="1"/>
  <c r="BB97" i="1"/>
  <c r="BC97" i="1"/>
  <c r="BD97" i="1"/>
  <c r="BE97" i="1"/>
  <c r="BF97" i="1"/>
  <c r="BG97" i="1"/>
  <c r="BH97" i="1"/>
  <c r="BI97" i="1"/>
  <c r="BJ97" i="1"/>
  <c r="BK97" i="1"/>
  <c r="BL97" i="1"/>
  <c r="BM97" i="1"/>
  <c r="BN97" i="1"/>
  <c r="BO97" i="1"/>
  <c r="BP97" i="1"/>
  <c r="BQ97" i="1"/>
  <c r="BR97" i="1"/>
  <c r="BS97" i="1"/>
  <c r="BT97" i="1"/>
  <c r="BU97" i="1"/>
  <c r="BV97" i="1"/>
  <c r="BW97" i="1"/>
  <c r="BX97" i="1"/>
  <c r="CT97" i="1"/>
  <c r="D98" i="1"/>
  <c r="E98" i="1"/>
  <c r="F98" i="1"/>
  <c r="G98" i="1"/>
  <c r="H98" i="1"/>
  <c r="I98" i="1"/>
  <c r="J98" i="1"/>
  <c r="K98" i="1"/>
  <c r="L98" i="1"/>
  <c r="M98" i="1"/>
  <c r="N98" i="1"/>
  <c r="O98" i="1"/>
  <c r="P98" i="1"/>
  <c r="Q98" i="1"/>
  <c r="R98" i="1"/>
  <c r="S98" i="1"/>
  <c r="T98" i="1"/>
  <c r="U98" i="1"/>
  <c r="V98" i="1"/>
  <c r="W98" i="1"/>
  <c r="X98" i="1"/>
  <c r="Y98" i="1"/>
  <c r="Z98" i="1"/>
  <c r="AA98" i="1"/>
  <c r="AB98" i="1"/>
  <c r="AC98" i="1"/>
  <c r="AD98" i="1"/>
  <c r="AE98" i="1"/>
  <c r="AF98" i="1"/>
  <c r="AG98" i="1"/>
  <c r="AH98" i="1"/>
  <c r="AI98" i="1"/>
  <c r="AJ98" i="1"/>
  <c r="AK98" i="1"/>
  <c r="AL98" i="1"/>
  <c r="AM98" i="1"/>
  <c r="AN98" i="1"/>
  <c r="AO98" i="1"/>
  <c r="AP98" i="1"/>
  <c r="AQ98" i="1"/>
  <c r="AR98" i="1"/>
  <c r="AS98" i="1"/>
  <c r="AT98" i="1"/>
  <c r="AU98" i="1"/>
  <c r="AV98" i="1"/>
  <c r="AW98" i="1"/>
  <c r="AX98" i="1"/>
  <c r="AY98" i="1"/>
  <c r="AZ98" i="1"/>
  <c r="BA98" i="1"/>
  <c r="BB98" i="1"/>
  <c r="BC98" i="1"/>
  <c r="BD98" i="1"/>
  <c r="BE98" i="1"/>
  <c r="BF98" i="1"/>
  <c r="BG98" i="1"/>
  <c r="BH98" i="1"/>
  <c r="BI98" i="1"/>
  <c r="BJ98" i="1"/>
  <c r="BK98" i="1"/>
  <c r="BL98" i="1"/>
  <c r="BM98" i="1"/>
  <c r="BN98" i="1"/>
  <c r="BO98" i="1"/>
  <c r="BP98" i="1"/>
  <c r="BQ98" i="1"/>
  <c r="BR98" i="1"/>
  <c r="BS98" i="1"/>
  <c r="BT98" i="1"/>
  <c r="BU98" i="1"/>
  <c r="BV98" i="1"/>
  <c r="BW98" i="1"/>
  <c r="BX98" i="1"/>
  <c r="CT98" i="1"/>
  <c r="D92" i="1"/>
  <c r="E92" i="1"/>
  <c r="F92" i="1"/>
  <c r="G92" i="1"/>
  <c r="H92" i="1"/>
  <c r="I92" i="1"/>
  <c r="J92" i="1"/>
  <c r="K92" i="1"/>
  <c r="L92" i="1"/>
  <c r="M92" i="1"/>
  <c r="N92" i="1"/>
  <c r="O92" i="1"/>
  <c r="P92" i="1"/>
  <c r="Q92" i="1"/>
  <c r="R92" i="1"/>
  <c r="S92" i="1"/>
  <c r="T92" i="1"/>
  <c r="U92" i="1"/>
  <c r="V92" i="1"/>
  <c r="W92" i="1"/>
  <c r="X92" i="1"/>
  <c r="Y92" i="1"/>
  <c r="Z92" i="1"/>
  <c r="AA92" i="1"/>
  <c r="AB92" i="1"/>
  <c r="AC92" i="1"/>
  <c r="AD92" i="1"/>
  <c r="AE92" i="1"/>
  <c r="AF92" i="1"/>
  <c r="AG92" i="1"/>
  <c r="AH92" i="1"/>
  <c r="AI92" i="1"/>
  <c r="AJ92" i="1"/>
  <c r="AK92" i="1"/>
  <c r="AL92" i="1"/>
  <c r="AM92" i="1"/>
  <c r="AN92" i="1"/>
  <c r="AO92" i="1"/>
  <c r="AP92" i="1"/>
  <c r="AQ92" i="1"/>
  <c r="AR92" i="1"/>
  <c r="AS92" i="1"/>
  <c r="AT92" i="1"/>
  <c r="AU92" i="1"/>
  <c r="AV92" i="1"/>
  <c r="AW92" i="1"/>
  <c r="AX92" i="1"/>
  <c r="AY92" i="1"/>
  <c r="AZ92" i="1"/>
  <c r="BA92" i="1"/>
  <c r="BB92" i="1"/>
  <c r="BC92" i="1"/>
  <c r="BD92" i="1"/>
  <c r="BE92" i="1"/>
  <c r="BF92" i="1"/>
  <c r="BG92" i="1"/>
  <c r="BH92" i="1"/>
  <c r="BI92" i="1"/>
  <c r="BJ92" i="1"/>
  <c r="BK92" i="1"/>
  <c r="BL92" i="1"/>
  <c r="BM92" i="1"/>
  <c r="BN92" i="1"/>
  <c r="BO92" i="1"/>
  <c r="BP92" i="1"/>
  <c r="BQ92" i="1"/>
  <c r="BR92" i="1"/>
  <c r="BS92" i="1"/>
  <c r="BT92" i="1"/>
  <c r="BU92" i="1"/>
  <c r="BV92" i="1"/>
  <c r="BW92" i="1"/>
  <c r="BX92" i="1"/>
  <c r="CT92" i="1"/>
  <c r="D100" i="1"/>
  <c r="F100" i="1"/>
  <c r="G100" i="1"/>
  <c r="H100" i="1"/>
  <c r="I100" i="1"/>
  <c r="J100" i="1"/>
  <c r="K100" i="1"/>
  <c r="L100" i="1"/>
  <c r="M100" i="1"/>
  <c r="N100" i="1"/>
  <c r="O100" i="1"/>
  <c r="P100" i="1"/>
  <c r="Q100" i="1"/>
  <c r="R100" i="1"/>
  <c r="S100" i="1"/>
  <c r="T100" i="1"/>
  <c r="U100" i="1"/>
  <c r="V100" i="1"/>
  <c r="W100" i="1"/>
  <c r="X100" i="1"/>
  <c r="Y100" i="1"/>
  <c r="Z100" i="1"/>
  <c r="AA100" i="1"/>
  <c r="AB100" i="1"/>
  <c r="AC100" i="1"/>
  <c r="AD100" i="1"/>
  <c r="AE100" i="1"/>
  <c r="AF100" i="1"/>
  <c r="AG100" i="1"/>
  <c r="AH100" i="1"/>
  <c r="AI100" i="1"/>
  <c r="AJ100" i="1"/>
  <c r="AK100" i="1"/>
  <c r="AL100" i="1"/>
  <c r="AM100" i="1"/>
  <c r="AN100" i="1"/>
  <c r="AO100" i="1"/>
  <c r="AP100" i="1"/>
  <c r="AQ100" i="1"/>
  <c r="AR100" i="1"/>
  <c r="AS100" i="1"/>
  <c r="AT100" i="1"/>
  <c r="AU100" i="1"/>
  <c r="AV100" i="1"/>
  <c r="AW100" i="1"/>
  <c r="AX100" i="1"/>
  <c r="AY100" i="1"/>
  <c r="AZ100" i="1"/>
  <c r="BA100" i="1"/>
  <c r="BB100" i="1"/>
  <c r="BC100" i="1"/>
  <c r="BD100" i="1"/>
  <c r="BE100" i="1"/>
  <c r="BF100" i="1"/>
  <c r="BG100" i="1"/>
  <c r="BH100" i="1"/>
  <c r="BI100" i="1"/>
  <c r="BJ100" i="1"/>
  <c r="BK100" i="1"/>
  <c r="BL100" i="1"/>
  <c r="BM100" i="1"/>
  <c r="BN100" i="1"/>
  <c r="BO100" i="1"/>
  <c r="BP100" i="1"/>
  <c r="BQ100" i="1"/>
  <c r="BR100" i="1"/>
  <c r="BS100" i="1"/>
  <c r="BT100" i="1"/>
  <c r="BU100" i="1"/>
  <c r="BV100" i="1"/>
  <c r="BW100" i="1"/>
  <c r="BX100" i="1"/>
  <c r="CT100" i="1"/>
  <c r="D79" i="1"/>
  <c r="E79" i="1"/>
  <c r="F79" i="1"/>
  <c r="G79" i="1"/>
  <c r="H79" i="1"/>
  <c r="I79" i="1"/>
  <c r="J79" i="1"/>
  <c r="K79" i="1"/>
  <c r="L79" i="1"/>
  <c r="M79" i="1"/>
  <c r="N79" i="1"/>
  <c r="O79" i="1"/>
  <c r="P79" i="1"/>
  <c r="Q79" i="1"/>
  <c r="R79" i="1"/>
  <c r="S79" i="1"/>
  <c r="T79" i="1"/>
  <c r="U79" i="1"/>
  <c r="V79" i="1"/>
  <c r="W79" i="1"/>
  <c r="X79" i="1"/>
  <c r="Y79" i="1"/>
  <c r="Z79" i="1"/>
  <c r="AA79" i="1"/>
  <c r="AB79" i="1"/>
  <c r="AC79" i="1"/>
  <c r="AD79" i="1"/>
  <c r="AE79" i="1"/>
  <c r="AF79" i="1"/>
  <c r="AG79" i="1"/>
  <c r="AH79" i="1"/>
  <c r="AI79" i="1"/>
  <c r="AJ79" i="1"/>
  <c r="AK79" i="1"/>
  <c r="AL79" i="1"/>
  <c r="AM79" i="1"/>
  <c r="AN79" i="1"/>
  <c r="AO79" i="1"/>
  <c r="AP79" i="1"/>
  <c r="AQ79" i="1"/>
  <c r="AR79" i="1"/>
  <c r="AS79" i="1"/>
  <c r="AT79" i="1"/>
  <c r="AU79" i="1"/>
  <c r="AV79" i="1"/>
  <c r="AW79" i="1"/>
  <c r="AX79" i="1"/>
  <c r="AY79" i="1"/>
  <c r="AZ79" i="1"/>
  <c r="BA79" i="1"/>
  <c r="BB79" i="1"/>
  <c r="BC79" i="1"/>
  <c r="BD79" i="1"/>
  <c r="BE79" i="1"/>
  <c r="BF79" i="1"/>
  <c r="BG79" i="1"/>
  <c r="BH79" i="1"/>
  <c r="BI79" i="1"/>
  <c r="BJ79" i="1"/>
  <c r="BK79" i="1"/>
  <c r="BL79" i="1"/>
  <c r="BM79" i="1"/>
  <c r="BN79" i="1"/>
  <c r="BO79" i="1"/>
  <c r="BP79" i="1"/>
  <c r="BQ79" i="1"/>
  <c r="BR79" i="1"/>
  <c r="BS79" i="1"/>
  <c r="BT79" i="1"/>
  <c r="BU79" i="1"/>
  <c r="BV79" i="1"/>
  <c r="BW79" i="1"/>
  <c r="BX79" i="1"/>
  <c r="CT79" i="1"/>
  <c r="D89" i="1"/>
  <c r="E89" i="1"/>
  <c r="F89" i="1"/>
  <c r="G89" i="1"/>
  <c r="H89" i="1"/>
  <c r="I89" i="1"/>
  <c r="J89" i="1"/>
  <c r="K89" i="1"/>
  <c r="L89" i="1"/>
  <c r="M89" i="1"/>
  <c r="N89" i="1"/>
  <c r="O89" i="1"/>
  <c r="P89" i="1"/>
  <c r="Q89" i="1"/>
  <c r="R89" i="1"/>
  <c r="S89" i="1"/>
  <c r="T89" i="1"/>
  <c r="U89" i="1"/>
  <c r="V89" i="1"/>
  <c r="W89" i="1"/>
  <c r="X89" i="1"/>
  <c r="Y89" i="1"/>
  <c r="Z89" i="1"/>
  <c r="AA89" i="1"/>
  <c r="AB89" i="1"/>
  <c r="AC89" i="1"/>
  <c r="AD89" i="1"/>
  <c r="AE89" i="1"/>
  <c r="AF89" i="1"/>
  <c r="AG89" i="1"/>
  <c r="AH89" i="1"/>
  <c r="AI89" i="1"/>
  <c r="AJ89" i="1"/>
  <c r="AK89" i="1"/>
  <c r="AL89" i="1"/>
  <c r="AM89" i="1"/>
  <c r="AN89" i="1"/>
  <c r="AO89" i="1"/>
  <c r="AP89" i="1"/>
  <c r="AQ89" i="1"/>
  <c r="AR89" i="1"/>
  <c r="AS89" i="1"/>
  <c r="AT89" i="1"/>
  <c r="AU89" i="1"/>
  <c r="AV89" i="1"/>
  <c r="AW89" i="1"/>
  <c r="AX89" i="1"/>
  <c r="AY89" i="1"/>
  <c r="AZ89" i="1"/>
  <c r="BA89" i="1"/>
  <c r="BB89" i="1"/>
  <c r="BC89" i="1"/>
  <c r="BD89" i="1"/>
  <c r="BE89" i="1"/>
  <c r="BF89" i="1"/>
  <c r="BG89" i="1"/>
  <c r="BH89" i="1"/>
  <c r="BI89" i="1"/>
  <c r="BJ89" i="1"/>
  <c r="BK89" i="1"/>
  <c r="BL89" i="1"/>
  <c r="BM89" i="1"/>
  <c r="BN89" i="1"/>
  <c r="BO89" i="1"/>
  <c r="BP89" i="1"/>
  <c r="BQ89" i="1"/>
  <c r="BR89" i="1"/>
  <c r="BS89" i="1"/>
  <c r="BT89" i="1"/>
  <c r="BU89" i="1"/>
  <c r="BV89" i="1"/>
  <c r="BW89" i="1"/>
  <c r="BX89" i="1"/>
  <c r="CT89" i="1"/>
  <c r="D95" i="1"/>
  <c r="E95" i="1"/>
  <c r="F95" i="1"/>
  <c r="G95" i="1"/>
  <c r="H95" i="1"/>
  <c r="I95" i="1"/>
  <c r="J95" i="1"/>
  <c r="K95" i="1"/>
  <c r="L95" i="1"/>
  <c r="M95" i="1"/>
  <c r="N95" i="1"/>
  <c r="O95" i="1"/>
  <c r="P95" i="1"/>
  <c r="Q95" i="1"/>
  <c r="R95" i="1"/>
  <c r="S95" i="1"/>
  <c r="T95" i="1"/>
  <c r="U95" i="1"/>
  <c r="V95" i="1"/>
  <c r="W95" i="1"/>
  <c r="X95" i="1"/>
  <c r="Y95" i="1"/>
  <c r="Z95" i="1"/>
  <c r="AA95" i="1"/>
  <c r="AB95" i="1"/>
  <c r="AC95" i="1"/>
  <c r="AD95" i="1"/>
  <c r="AE95" i="1"/>
  <c r="AF95" i="1"/>
  <c r="AG95" i="1"/>
  <c r="AH95" i="1"/>
  <c r="AI95" i="1"/>
  <c r="AJ95" i="1"/>
  <c r="AK95" i="1"/>
  <c r="AL95" i="1"/>
  <c r="AM95" i="1"/>
  <c r="AN95" i="1"/>
  <c r="AO95" i="1"/>
  <c r="AP95" i="1"/>
  <c r="AQ95" i="1"/>
  <c r="AR95" i="1"/>
  <c r="AS95" i="1"/>
  <c r="AT95" i="1"/>
  <c r="AU95" i="1"/>
  <c r="AV95" i="1"/>
  <c r="AW95" i="1"/>
  <c r="AX95" i="1"/>
  <c r="AY95" i="1"/>
  <c r="AZ95" i="1"/>
  <c r="BA95" i="1"/>
  <c r="BB95" i="1"/>
  <c r="BC95" i="1"/>
  <c r="BD95" i="1"/>
  <c r="BE95" i="1"/>
  <c r="BF95" i="1"/>
  <c r="BG95" i="1"/>
  <c r="BH95" i="1"/>
  <c r="BI95" i="1"/>
  <c r="BJ95" i="1"/>
  <c r="BK95" i="1"/>
  <c r="BL95" i="1"/>
  <c r="BM95" i="1"/>
  <c r="BN95" i="1"/>
  <c r="BO95" i="1"/>
  <c r="BP95" i="1"/>
  <c r="BQ95" i="1"/>
  <c r="BR95" i="1"/>
  <c r="BS95" i="1"/>
  <c r="BT95" i="1"/>
  <c r="BU95" i="1"/>
  <c r="BV95" i="1"/>
  <c r="BW95" i="1"/>
  <c r="BX95" i="1"/>
  <c r="CT95" i="1"/>
  <c r="D90" i="1"/>
  <c r="E90" i="1"/>
  <c r="F90" i="1"/>
  <c r="G90" i="1"/>
  <c r="H90" i="1"/>
  <c r="I90" i="1"/>
  <c r="J90" i="1"/>
  <c r="K90" i="1"/>
  <c r="L90" i="1"/>
  <c r="M90" i="1"/>
  <c r="N90" i="1"/>
  <c r="O90" i="1"/>
  <c r="P90" i="1"/>
  <c r="Q90" i="1"/>
  <c r="R90" i="1"/>
  <c r="S90" i="1"/>
  <c r="T90" i="1"/>
  <c r="U90" i="1"/>
  <c r="V90" i="1"/>
  <c r="W90" i="1"/>
  <c r="X90" i="1"/>
  <c r="Y90" i="1"/>
  <c r="Z90" i="1"/>
  <c r="AA90" i="1"/>
  <c r="AB90" i="1"/>
  <c r="AC90" i="1"/>
  <c r="AD90" i="1"/>
  <c r="AE90" i="1"/>
  <c r="AF90" i="1"/>
  <c r="AG90" i="1"/>
  <c r="AH90" i="1"/>
  <c r="AI90" i="1"/>
  <c r="AJ90" i="1"/>
  <c r="AK90" i="1"/>
  <c r="AL90" i="1"/>
  <c r="AM90" i="1"/>
  <c r="AN90" i="1"/>
  <c r="AO90" i="1"/>
  <c r="AP90" i="1"/>
  <c r="AQ90" i="1"/>
  <c r="AR90" i="1"/>
  <c r="AS90" i="1"/>
  <c r="AT90" i="1"/>
  <c r="AU90" i="1"/>
  <c r="AV90" i="1"/>
  <c r="AW90" i="1"/>
  <c r="AX90" i="1"/>
  <c r="AY90" i="1"/>
  <c r="AZ90" i="1"/>
  <c r="BA90" i="1"/>
  <c r="BB90" i="1"/>
  <c r="BC90" i="1"/>
  <c r="BD90" i="1"/>
  <c r="BE90" i="1"/>
  <c r="BF90" i="1"/>
  <c r="BG90" i="1"/>
  <c r="BH90" i="1"/>
  <c r="BI90" i="1"/>
  <c r="BJ90" i="1"/>
  <c r="BK90" i="1"/>
  <c r="BL90" i="1"/>
  <c r="BM90" i="1"/>
  <c r="BN90" i="1"/>
  <c r="BO90" i="1"/>
  <c r="BP90" i="1"/>
  <c r="BQ90" i="1"/>
  <c r="BR90" i="1"/>
  <c r="BS90" i="1"/>
  <c r="BT90" i="1"/>
  <c r="BU90" i="1"/>
  <c r="BV90" i="1"/>
  <c r="BW90" i="1"/>
  <c r="BX90" i="1"/>
  <c r="CT90" i="1"/>
  <c r="D81" i="1"/>
  <c r="E81" i="1"/>
  <c r="F81" i="1"/>
  <c r="G81" i="1"/>
  <c r="H81" i="1"/>
  <c r="I81" i="1"/>
  <c r="J81" i="1"/>
  <c r="K81" i="1"/>
  <c r="L81" i="1"/>
  <c r="M81" i="1"/>
  <c r="N81" i="1"/>
  <c r="O81" i="1"/>
  <c r="P81" i="1"/>
  <c r="Q81" i="1"/>
  <c r="R81" i="1"/>
  <c r="S81" i="1"/>
  <c r="T81" i="1"/>
  <c r="U81" i="1"/>
  <c r="V81" i="1"/>
  <c r="W81" i="1"/>
  <c r="X81" i="1"/>
  <c r="Y81" i="1"/>
  <c r="Z81" i="1"/>
  <c r="AA81" i="1"/>
  <c r="AB81" i="1"/>
  <c r="AC81" i="1"/>
  <c r="AD81" i="1"/>
  <c r="AE81" i="1"/>
  <c r="AF81" i="1"/>
  <c r="AG81" i="1"/>
  <c r="AH81" i="1"/>
  <c r="AI81" i="1"/>
  <c r="AJ81" i="1"/>
  <c r="AK81" i="1"/>
  <c r="AL81" i="1"/>
  <c r="AM81" i="1"/>
  <c r="AN81" i="1"/>
  <c r="AO81" i="1"/>
  <c r="AP81" i="1"/>
  <c r="AQ81" i="1"/>
  <c r="AR81" i="1"/>
  <c r="AS81" i="1"/>
  <c r="AT81" i="1"/>
  <c r="AU81" i="1"/>
  <c r="AV81" i="1"/>
  <c r="AW81" i="1"/>
  <c r="AX81" i="1"/>
  <c r="AY81" i="1"/>
  <c r="AZ81" i="1"/>
  <c r="BA81" i="1"/>
  <c r="BB81" i="1"/>
  <c r="BC81" i="1"/>
  <c r="BD81" i="1"/>
  <c r="BE81" i="1"/>
  <c r="BF81" i="1"/>
  <c r="BG81" i="1"/>
  <c r="BH81" i="1"/>
  <c r="BI81" i="1"/>
  <c r="BJ81" i="1"/>
  <c r="BK81" i="1"/>
  <c r="BL81" i="1"/>
  <c r="BM81" i="1"/>
  <c r="BN81" i="1"/>
  <c r="BO81" i="1"/>
  <c r="BP81" i="1"/>
  <c r="BQ81" i="1"/>
  <c r="BR81" i="1"/>
  <c r="BS81" i="1"/>
  <c r="BT81" i="1"/>
  <c r="BU81" i="1"/>
  <c r="BV81" i="1"/>
  <c r="BW81" i="1"/>
  <c r="BX81" i="1"/>
  <c r="CT81" i="1"/>
  <c r="D99" i="1"/>
  <c r="E99" i="1"/>
  <c r="F99" i="1"/>
  <c r="G99" i="1"/>
  <c r="H99" i="1"/>
  <c r="I99" i="1"/>
  <c r="J99" i="1"/>
  <c r="K99" i="1"/>
  <c r="L99" i="1"/>
  <c r="M99" i="1"/>
  <c r="N99" i="1"/>
  <c r="O99" i="1"/>
  <c r="P99" i="1"/>
  <c r="Q99" i="1"/>
  <c r="R99" i="1"/>
  <c r="S99" i="1"/>
  <c r="T99" i="1"/>
  <c r="U99" i="1"/>
  <c r="V99" i="1"/>
  <c r="W99" i="1"/>
  <c r="X99" i="1"/>
  <c r="Y99" i="1"/>
  <c r="Z99" i="1"/>
  <c r="AA99" i="1"/>
  <c r="AB99" i="1"/>
  <c r="AC99" i="1"/>
  <c r="AD99" i="1"/>
  <c r="AE99" i="1"/>
  <c r="AF99" i="1"/>
  <c r="AG99" i="1"/>
  <c r="AH99" i="1"/>
  <c r="AI99" i="1"/>
  <c r="AJ99" i="1"/>
  <c r="AK99" i="1"/>
  <c r="AL99" i="1"/>
  <c r="AM99" i="1"/>
  <c r="AN99" i="1"/>
  <c r="AO99" i="1"/>
  <c r="AP99" i="1"/>
  <c r="AQ99" i="1"/>
  <c r="AR99" i="1"/>
  <c r="AS99" i="1"/>
  <c r="AT99" i="1"/>
  <c r="AU99" i="1"/>
  <c r="AV99" i="1"/>
  <c r="AW99" i="1"/>
  <c r="AX99" i="1"/>
  <c r="AY99" i="1"/>
  <c r="AZ99" i="1"/>
  <c r="BA99" i="1"/>
  <c r="BB99" i="1"/>
  <c r="BC99" i="1"/>
  <c r="BD99" i="1"/>
  <c r="BE99" i="1"/>
  <c r="BF99" i="1"/>
  <c r="BG99" i="1"/>
  <c r="BH99" i="1"/>
  <c r="BI99" i="1"/>
  <c r="BJ99" i="1"/>
  <c r="BK99" i="1"/>
  <c r="BL99" i="1"/>
  <c r="BM99" i="1"/>
  <c r="BN99" i="1"/>
  <c r="BO99" i="1"/>
  <c r="BP99" i="1"/>
  <c r="BQ99" i="1"/>
  <c r="BR99" i="1"/>
  <c r="BS99" i="1"/>
  <c r="BT99" i="1"/>
  <c r="BU99" i="1"/>
  <c r="BV99" i="1"/>
  <c r="BW99" i="1"/>
  <c r="BX99" i="1"/>
  <c r="CT99" i="1"/>
  <c r="D75" i="1"/>
  <c r="E75" i="1"/>
  <c r="F75" i="1"/>
  <c r="G75" i="1"/>
  <c r="H75" i="1"/>
  <c r="I75" i="1"/>
  <c r="J75" i="1"/>
  <c r="K75" i="1"/>
  <c r="L75" i="1"/>
  <c r="M75" i="1"/>
  <c r="N75" i="1"/>
  <c r="O75" i="1"/>
  <c r="P75" i="1"/>
  <c r="Q75" i="1"/>
  <c r="R75" i="1"/>
  <c r="S75" i="1"/>
  <c r="T75" i="1"/>
  <c r="U75" i="1"/>
  <c r="V75" i="1"/>
  <c r="W75" i="1"/>
  <c r="X75" i="1"/>
  <c r="Y75" i="1"/>
  <c r="Z75" i="1"/>
  <c r="AA75" i="1"/>
  <c r="AB75" i="1"/>
  <c r="AC75" i="1"/>
  <c r="AD75" i="1"/>
  <c r="AE75" i="1"/>
  <c r="AF75" i="1"/>
  <c r="AG75" i="1"/>
  <c r="AH75" i="1"/>
  <c r="AI75" i="1"/>
  <c r="AJ75" i="1"/>
  <c r="AK75" i="1"/>
  <c r="AL75" i="1"/>
  <c r="AM75" i="1"/>
  <c r="AN75" i="1"/>
  <c r="AO75" i="1"/>
  <c r="AP75" i="1"/>
  <c r="AQ75" i="1"/>
  <c r="AR75" i="1"/>
  <c r="AS75" i="1"/>
  <c r="AT75" i="1"/>
  <c r="AU75" i="1"/>
  <c r="AV75" i="1"/>
  <c r="AW75" i="1"/>
  <c r="AX75" i="1"/>
  <c r="AY75" i="1"/>
  <c r="AZ75" i="1"/>
  <c r="BA75" i="1"/>
  <c r="BB75" i="1"/>
  <c r="BC75" i="1"/>
  <c r="BD75" i="1"/>
  <c r="BE75" i="1"/>
  <c r="BF75" i="1"/>
  <c r="BG75" i="1"/>
  <c r="BH75" i="1"/>
  <c r="BI75" i="1"/>
  <c r="BJ75" i="1"/>
  <c r="BK75" i="1"/>
  <c r="BL75" i="1"/>
  <c r="BM75" i="1"/>
  <c r="BN75" i="1"/>
  <c r="BO75" i="1"/>
  <c r="BP75" i="1"/>
  <c r="BQ75" i="1"/>
  <c r="BR75" i="1"/>
  <c r="BS75" i="1"/>
  <c r="BT75" i="1"/>
  <c r="BU75" i="1"/>
  <c r="BV75" i="1"/>
  <c r="BW75" i="1"/>
  <c r="BX75" i="1"/>
  <c r="CT75" i="1"/>
  <c r="D74" i="1"/>
  <c r="E74" i="1"/>
  <c r="F74" i="1"/>
  <c r="G74" i="1"/>
  <c r="H74" i="1"/>
  <c r="I74" i="1"/>
  <c r="J74" i="1"/>
  <c r="K74" i="1"/>
  <c r="L74" i="1"/>
  <c r="M74" i="1"/>
  <c r="N74" i="1"/>
  <c r="O74" i="1"/>
  <c r="P74" i="1"/>
  <c r="Q74" i="1"/>
  <c r="R74" i="1"/>
  <c r="S74" i="1"/>
  <c r="T74" i="1"/>
  <c r="U74" i="1"/>
  <c r="V74" i="1"/>
  <c r="W74" i="1"/>
  <c r="X74" i="1"/>
  <c r="Y74" i="1"/>
  <c r="Z74" i="1"/>
  <c r="AA74" i="1"/>
  <c r="AB74" i="1"/>
  <c r="AC74" i="1"/>
  <c r="AD74" i="1"/>
  <c r="AE74" i="1"/>
  <c r="AF74" i="1"/>
  <c r="AG74" i="1"/>
  <c r="AH74" i="1"/>
  <c r="AI74" i="1"/>
  <c r="AJ74" i="1"/>
  <c r="AK74" i="1"/>
  <c r="AL74" i="1"/>
  <c r="AM74" i="1"/>
  <c r="AN74" i="1"/>
  <c r="AO74" i="1"/>
  <c r="AP74" i="1"/>
  <c r="AQ74" i="1"/>
  <c r="AR74" i="1"/>
  <c r="AS74" i="1"/>
  <c r="AT74" i="1"/>
  <c r="AU74" i="1"/>
  <c r="AV74" i="1"/>
  <c r="AW74" i="1"/>
  <c r="AX74" i="1"/>
  <c r="AY74" i="1"/>
  <c r="AZ74" i="1"/>
  <c r="BA74" i="1"/>
  <c r="BB74" i="1"/>
  <c r="BC74" i="1"/>
  <c r="BD74" i="1"/>
  <c r="BE74" i="1"/>
  <c r="BF74" i="1"/>
  <c r="BG74" i="1"/>
  <c r="BH74" i="1"/>
  <c r="BI74" i="1"/>
  <c r="BJ74" i="1"/>
  <c r="BK74" i="1"/>
  <c r="BL74" i="1"/>
  <c r="BM74" i="1"/>
  <c r="BN74" i="1"/>
  <c r="BO74" i="1"/>
  <c r="BP74" i="1"/>
  <c r="BQ74" i="1"/>
  <c r="BR74" i="1"/>
  <c r="BS74" i="1"/>
  <c r="BT74" i="1"/>
  <c r="BU74" i="1"/>
  <c r="BV74" i="1"/>
  <c r="BW74" i="1"/>
  <c r="BX74" i="1"/>
  <c r="CT74" i="1"/>
  <c r="D83" i="1"/>
  <c r="E83" i="1"/>
  <c r="F83" i="1"/>
  <c r="G83" i="1"/>
  <c r="H83" i="1"/>
  <c r="I83" i="1"/>
  <c r="J83" i="1"/>
  <c r="K83" i="1"/>
  <c r="L83" i="1"/>
  <c r="M83" i="1"/>
  <c r="N83" i="1"/>
  <c r="O83" i="1"/>
  <c r="P83" i="1"/>
  <c r="Q83" i="1"/>
  <c r="R83" i="1"/>
  <c r="S83" i="1"/>
  <c r="T83" i="1"/>
  <c r="U83" i="1"/>
  <c r="V83" i="1"/>
  <c r="W83" i="1"/>
  <c r="X83" i="1"/>
  <c r="Y83" i="1"/>
  <c r="Z83" i="1"/>
  <c r="AA83" i="1"/>
  <c r="AB83" i="1"/>
  <c r="AC83" i="1"/>
  <c r="AD83" i="1"/>
  <c r="AE83" i="1"/>
  <c r="AF83" i="1"/>
  <c r="AG83" i="1"/>
  <c r="AH83" i="1"/>
  <c r="AI83" i="1"/>
  <c r="AJ83" i="1"/>
  <c r="AK83" i="1"/>
  <c r="AL83" i="1"/>
  <c r="AM83" i="1"/>
  <c r="AN83" i="1"/>
  <c r="AO83" i="1"/>
  <c r="AP83" i="1"/>
  <c r="AQ83" i="1"/>
  <c r="AR83" i="1"/>
  <c r="AS83" i="1"/>
  <c r="AT83" i="1"/>
  <c r="AU83" i="1"/>
  <c r="AV83" i="1"/>
  <c r="AW83" i="1"/>
  <c r="AX83" i="1"/>
  <c r="AY83" i="1"/>
  <c r="AZ83" i="1"/>
  <c r="BA83" i="1"/>
  <c r="BB83" i="1"/>
  <c r="BC83" i="1"/>
  <c r="BD83" i="1"/>
  <c r="BE83" i="1"/>
  <c r="BF83" i="1"/>
  <c r="BG83" i="1"/>
  <c r="BH83" i="1"/>
  <c r="BI83" i="1"/>
  <c r="BJ83" i="1"/>
  <c r="BK83" i="1"/>
  <c r="BL83" i="1"/>
  <c r="BM83" i="1"/>
  <c r="BN83" i="1"/>
  <c r="BO83" i="1"/>
  <c r="BP83" i="1"/>
  <c r="BQ83" i="1"/>
  <c r="BR83" i="1"/>
  <c r="BS83" i="1"/>
  <c r="BT83" i="1"/>
  <c r="BU83" i="1"/>
  <c r="BV83" i="1"/>
  <c r="BW83" i="1"/>
  <c r="BX83" i="1"/>
  <c r="CT83" i="1"/>
  <c r="D87" i="1"/>
  <c r="E87" i="1"/>
  <c r="F87" i="1"/>
  <c r="G87" i="1"/>
  <c r="H87" i="1"/>
  <c r="I87" i="1"/>
  <c r="J87" i="1"/>
  <c r="K87" i="1"/>
  <c r="L87" i="1"/>
  <c r="M87" i="1"/>
  <c r="N87" i="1"/>
  <c r="O87" i="1"/>
  <c r="P87" i="1"/>
  <c r="Q87" i="1"/>
  <c r="R87" i="1"/>
  <c r="S87" i="1"/>
  <c r="T87" i="1"/>
  <c r="U87" i="1"/>
  <c r="V87" i="1"/>
  <c r="W87" i="1"/>
  <c r="X87" i="1"/>
  <c r="Y87" i="1"/>
  <c r="Z87" i="1"/>
  <c r="AA87" i="1"/>
  <c r="AB87" i="1"/>
  <c r="AC87" i="1"/>
  <c r="AD87" i="1"/>
  <c r="AE87" i="1"/>
  <c r="AF87" i="1"/>
  <c r="AG87" i="1"/>
  <c r="AH87" i="1"/>
  <c r="AI87" i="1"/>
  <c r="AJ87" i="1"/>
  <c r="AK87" i="1"/>
  <c r="AL87" i="1"/>
  <c r="AM87" i="1"/>
  <c r="AN87" i="1"/>
  <c r="AO87" i="1"/>
  <c r="AP87" i="1"/>
  <c r="AQ87" i="1"/>
  <c r="AR87" i="1"/>
  <c r="AS87" i="1"/>
  <c r="AT87" i="1"/>
  <c r="AU87" i="1"/>
  <c r="AV87" i="1"/>
  <c r="AW87" i="1"/>
  <c r="AX87" i="1"/>
  <c r="AY87" i="1"/>
  <c r="AZ87" i="1"/>
  <c r="BA87" i="1"/>
  <c r="BB87" i="1"/>
  <c r="BC87" i="1"/>
  <c r="BD87" i="1"/>
  <c r="BE87" i="1"/>
  <c r="BF87" i="1"/>
  <c r="BG87" i="1"/>
  <c r="BH87" i="1"/>
  <c r="BI87" i="1"/>
  <c r="BJ87" i="1"/>
  <c r="BK87" i="1"/>
  <c r="BL87" i="1"/>
  <c r="BM87" i="1"/>
  <c r="BN87" i="1"/>
  <c r="BO87" i="1"/>
  <c r="BP87" i="1"/>
  <c r="BQ87" i="1"/>
  <c r="BR87" i="1"/>
  <c r="BS87" i="1"/>
  <c r="BT87" i="1"/>
  <c r="BU87" i="1"/>
  <c r="BV87" i="1"/>
  <c r="BW87" i="1"/>
  <c r="BX87" i="1"/>
  <c r="CT87" i="1"/>
  <c r="D147" i="1"/>
  <c r="E147" i="1"/>
  <c r="F147" i="1"/>
  <c r="G147" i="1"/>
  <c r="H147" i="1"/>
  <c r="I147" i="1"/>
  <c r="J147" i="1"/>
  <c r="K147" i="1"/>
  <c r="L147" i="1"/>
  <c r="M147" i="1"/>
  <c r="N147" i="1"/>
  <c r="O147" i="1"/>
  <c r="P147" i="1"/>
  <c r="Q147" i="1"/>
  <c r="R147" i="1"/>
  <c r="S147" i="1"/>
  <c r="T147" i="1"/>
  <c r="U147" i="1"/>
  <c r="V147" i="1"/>
  <c r="W147" i="1"/>
  <c r="X147" i="1"/>
  <c r="Y147" i="1"/>
  <c r="Z147" i="1"/>
  <c r="AA147" i="1"/>
  <c r="AB147" i="1"/>
  <c r="AC147" i="1"/>
  <c r="AD147" i="1"/>
  <c r="AE147" i="1"/>
  <c r="AF147" i="1"/>
  <c r="AG147" i="1"/>
  <c r="AH147" i="1"/>
  <c r="AI147" i="1"/>
  <c r="AJ147" i="1"/>
  <c r="AK147" i="1"/>
  <c r="AL147" i="1"/>
  <c r="AM147" i="1"/>
  <c r="AN147" i="1"/>
  <c r="AO147" i="1"/>
  <c r="AP147" i="1"/>
  <c r="AQ147" i="1"/>
  <c r="AR147" i="1"/>
  <c r="AT147" i="1"/>
  <c r="AU147" i="1"/>
  <c r="AV147" i="1"/>
  <c r="AX147" i="1"/>
  <c r="AY147" i="1"/>
  <c r="AZ147" i="1"/>
  <c r="BA147" i="1"/>
  <c r="BB147" i="1"/>
  <c r="BC147" i="1"/>
  <c r="BD147" i="1"/>
  <c r="BE147" i="1"/>
  <c r="BF147" i="1"/>
  <c r="BG147" i="1"/>
  <c r="BH147" i="1"/>
  <c r="BI147" i="1"/>
  <c r="BJ147" i="1"/>
  <c r="BK147" i="1"/>
  <c r="BL147" i="1"/>
  <c r="BM147" i="1"/>
  <c r="BN147" i="1"/>
  <c r="BO147" i="1"/>
  <c r="BP147" i="1"/>
  <c r="BQ147" i="1"/>
  <c r="BR147" i="1"/>
  <c r="BS147" i="1"/>
  <c r="BT147" i="1"/>
  <c r="BU147" i="1"/>
  <c r="BV147" i="1"/>
  <c r="BW147" i="1"/>
  <c r="BX147" i="1"/>
  <c r="CU104" i="1" l="1"/>
  <c r="CW96" i="1"/>
  <c r="CV104" i="1"/>
  <c r="CW104" i="1"/>
  <c r="CP186" i="1"/>
  <c r="CW102" i="1"/>
  <c r="CV103" i="1"/>
  <c r="CR103" i="1"/>
  <c r="CS103" i="1"/>
  <c r="CU103" i="1" s="1"/>
  <c r="CP103" i="1"/>
  <c r="CP101" i="1"/>
  <c r="CR102" i="1"/>
  <c r="CP102" i="1"/>
  <c r="CR101" i="1"/>
  <c r="CE106" i="1"/>
  <c r="CE62" i="1" s="1"/>
  <c r="CW101" i="1"/>
  <c r="CV102" i="1"/>
  <c r="CS101" i="1"/>
  <c r="CS102" i="1"/>
  <c r="CU102" i="1" s="1"/>
  <c r="CP90" i="1"/>
  <c r="CP72" i="1"/>
  <c r="CV100" i="1"/>
  <c r="CK106" i="1"/>
  <c r="CK62" i="1" s="1"/>
  <c r="CJ106" i="1"/>
  <c r="CJ62" i="1" s="1"/>
  <c r="CI106" i="1"/>
  <c r="CI62" i="1" s="1"/>
  <c r="CH106" i="1"/>
  <c r="CH62" i="1" s="1"/>
  <c r="CG106" i="1"/>
  <c r="CG62" i="1" s="1"/>
  <c r="CF106" i="1"/>
  <c r="CF62" i="1" s="1"/>
  <c r="CD106" i="1"/>
  <c r="CD62" i="1" s="1"/>
  <c r="CC106" i="1"/>
  <c r="CC62" i="1" s="1"/>
  <c r="CB106" i="1"/>
  <c r="CB62" i="1" s="1"/>
  <c r="CA106" i="1"/>
  <c r="CA62" i="1" s="1"/>
  <c r="CP85" i="1"/>
  <c r="AW147" i="1"/>
  <c r="CP77" i="1"/>
  <c r="CP96" i="1"/>
  <c r="CV96" i="1"/>
  <c r="CR72" i="1"/>
  <c r="AS132" i="1"/>
  <c r="CT91" i="1" s="1"/>
  <c r="CR85" i="1"/>
  <c r="CR84" i="1"/>
  <c r="CR76" i="1"/>
  <c r="CV88" i="1"/>
  <c r="CV89" i="1"/>
  <c r="CT77" i="1"/>
  <c r="AW77" i="1"/>
  <c r="AW106" i="1" s="1"/>
  <c r="AW62" i="1" s="1"/>
  <c r="CV98" i="1"/>
  <c r="CR80" i="1"/>
  <c r="BZ106" i="1"/>
  <c r="BZ62" i="1" s="1"/>
  <c r="E25" i="1"/>
  <c r="CR96" i="1"/>
  <c r="CW93" i="1"/>
  <c r="CW92" i="1"/>
  <c r="CR99" i="1"/>
  <c r="CV93" i="1"/>
  <c r="CP94" i="1"/>
  <c r="F25" i="1"/>
  <c r="G69" i="1"/>
  <c r="H69" i="1" s="1"/>
  <c r="CR77" i="1"/>
  <c r="CV73" i="1"/>
  <c r="CP76" i="1"/>
  <c r="AF106" i="1"/>
  <c r="AF62" i="1" s="1"/>
  <c r="CR94" i="1"/>
  <c r="CR87" i="1"/>
  <c r="CR75" i="1"/>
  <c r="CR98" i="1"/>
  <c r="CR79" i="1"/>
  <c r="CP82" i="1"/>
  <c r="BY106" i="1"/>
  <c r="BY62" i="1" s="1"/>
  <c r="CV90" i="1"/>
  <c r="CV87" i="1"/>
  <c r="CR83" i="1"/>
  <c r="BJ106" i="1"/>
  <c r="BJ62" i="1" s="1"/>
  <c r="BW106" i="1"/>
  <c r="BW62" i="1" s="1"/>
  <c r="CW87" i="1"/>
  <c r="CW75" i="1"/>
  <c r="CW79" i="1"/>
  <c r="S106" i="1"/>
  <c r="S62" i="1" s="1"/>
  <c r="CV79" i="1"/>
  <c r="AT106" i="1"/>
  <c r="AT62" i="1" s="1"/>
  <c r="BM106" i="1"/>
  <c r="BM62" i="1" s="1"/>
  <c r="CW85" i="1"/>
  <c r="AO106" i="1"/>
  <c r="AO62" i="1" s="1"/>
  <c r="AQ106" i="1"/>
  <c r="AQ62" i="1" s="1"/>
  <c r="CP98" i="1"/>
  <c r="CP92" i="1"/>
  <c r="CW97" i="1"/>
  <c r="CW91" i="1"/>
  <c r="BA106" i="1"/>
  <c r="BA62" i="1" s="1"/>
  <c r="CW100" i="1"/>
  <c r="CW86" i="1"/>
  <c r="Q106" i="1"/>
  <c r="Q62" i="1" s="1"/>
  <c r="BV106" i="1"/>
  <c r="BV62" i="1" s="1"/>
  <c r="BX106" i="1"/>
  <c r="BX62" i="1" s="1"/>
  <c r="AV106" i="1"/>
  <c r="AV62" i="1" s="1"/>
  <c r="CW89" i="1"/>
  <c r="CP88" i="1"/>
  <c r="F106" i="1"/>
  <c r="F62" i="1" s="1"/>
  <c r="CP80" i="1"/>
  <c r="CR74" i="1"/>
  <c r="BG106" i="1"/>
  <c r="BG62" i="1" s="1"/>
  <c r="CP79" i="1"/>
  <c r="CV75" i="1"/>
  <c r="BB106" i="1"/>
  <c r="BB62" i="1" s="1"/>
  <c r="BL106" i="1"/>
  <c r="BL62" i="1" s="1"/>
  <c r="R106" i="1"/>
  <c r="R62" i="1" s="1"/>
  <c r="CP99" i="1"/>
  <c r="BQ106" i="1"/>
  <c r="BQ62" i="1" s="1"/>
  <c r="I106" i="1"/>
  <c r="I62" i="1" s="1"/>
  <c r="L106" i="1"/>
  <c r="L62" i="1" s="1"/>
  <c r="BU106" i="1"/>
  <c r="BU62" i="1" s="1"/>
  <c r="CP97" i="1"/>
  <c r="CP78" i="1"/>
  <c r="CW83" i="1"/>
  <c r="AX106" i="1"/>
  <c r="AX62" i="1" s="1"/>
  <c r="V106" i="1"/>
  <c r="V62" i="1" s="1"/>
  <c r="CW95" i="1"/>
  <c r="BS106" i="1"/>
  <c r="BS62" i="1" s="1"/>
  <c r="CS75" i="1"/>
  <c r="CU75" i="1" s="1"/>
  <c r="CR82" i="1"/>
  <c r="CR90" i="1"/>
  <c r="X106" i="1"/>
  <c r="X62" i="1" s="1"/>
  <c r="J106" i="1"/>
  <c r="J62" i="1" s="1"/>
  <c r="BI106" i="1"/>
  <c r="BI62" i="1" s="1"/>
  <c r="BE106" i="1"/>
  <c r="BE62" i="1" s="1"/>
  <c r="AH106" i="1"/>
  <c r="AH62" i="1" s="1"/>
  <c r="CP95" i="1"/>
  <c r="CP83" i="1"/>
  <c r="AK106" i="1"/>
  <c r="AK62" i="1" s="1"/>
  <c r="CS81" i="1"/>
  <c r="CU81" i="1" s="1"/>
  <c r="CS95" i="1"/>
  <c r="CU95" i="1" s="1"/>
  <c r="T106" i="1"/>
  <c r="T62" i="1" s="1"/>
  <c r="AZ106" i="1"/>
  <c r="AZ62" i="1" s="1"/>
  <c r="BF106" i="1"/>
  <c r="BF62" i="1" s="1"/>
  <c r="BT106" i="1"/>
  <c r="BT62" i="1" s="1"/>
  <c r="CS99" i="1"/>
  <c r="AR106" i="1"/>
  <c r="AR62" i="1" s="1"/>
  <c r="CS83" i="1"/>
  <c r="AD106" i="1"/>
  <c r="AD62" i="1" s="1"/>
  <c r="BO106" i="1"/>
  <c r="BO62" i="1" s="1"/>
  <c r="CS84" i="1"/>
  <c r="CU84" i="1" s="1"/>
  <c r="D106" i="1"/>
  <c r="D62" i="1" s="1"/>
  <c r="AN106" i="1"/>
  <c r="AN62" i="1" s="1"/>
  <c r="CS93" i="1"/>
  <c r="CU93" i="1" s="1"/>
  <c r="AC106" i="1"/>
  <c r="AC62" i="1" s="1"/>
  <c r="AA106" i="1"/>
  <c r="AA62" i="1" s="1"/>
  <c r="K106" i="1"/>
  <c r="K62" i="1" s="1"/>
  <c r="Z106" i="1"/>
  <c r="Z62" i="1" s="1"/>
  <c r="AL106" i="1"/>
  <c r="AL62" i="1" s="1"/>
  <c r="BP106" i="1"/>
  <c r="BP62" i="1" s="1"/>
  <c r="O106" i="1"/>
  <c r="O62" i="1" s="1"/>
  <c r="CS96" i="1"/>
  <c r="AM106" i="1"/>
  <c r="AM62" i="1" s="1"/>
  <c r="M106" i="1"/>
  <c r="M62" i="1" s="1"/>
  <c r="P106" i="1"/>
  <c r="P62" i="1" s="1"/>
  <c r="Y106" i="1"/>
  <c r="Y62" i="1" s="1"/>
  <c r="CS73" i="1"/>
  <c r="CU73" i="1" s="1"/>
  <c r="CS85" i="1"/>
  <c r="BK106" i="1"/>
  <c r="BK62" i="1" s="1"/>
  <c r="CS87" i="1"/>
  <c r="CU87" i="1" s="1"/>
  <c r="AJ106" i="1"/>
  <c r="AJ62" i="1" s="1"/>
  <c r="AG106" i="1"/>
  <c r="AG62" i="1" s="1"/>
  <c r="CV99" i="1"/>
  <c r="CW81" i="1"/>
  <c r="CW82" i="1"/>
  <c r="CS92" i="1"/>
  <c r="CU92" i="1" s="1"/>
  <c r="CS98" i="1"/>
  <c r="CS86" i="1"/>
  <c r="CU86" i="1" s="1"/>
  <c r="CP81" i="1"/>
  <c r="CR81" i="1"/>
  <c r="U106" i="1"/>
  <c r="U62" i="1" s="1"/>
  <c r="CW99" i="1"/>
  <c r="CS74" i="1"/>
  <c r="CU74" i="1" s="1"/>
  <c r="BH106" i="1"/>
  <c r="BH62" i="1" s="1"/>
  <c r="CV81" i="1"/>
  <c r="CS90" i="1"/>
  <c r="CS100" i="1"/>
  <c r="CU100" i="1" s="1"/>
  <c r="AY106" i="1"/>
  <c r="AY62" i="1" s="1"/>
  <c r="H106" i="1"/>
  <c r="H62" i="1" s="1"/>
  <c r="BC106" i="1"/>
  <c r="BC62" i="1" s="1"/>
  <c r="CV74" i="1"/>
  <c r="CS79" i="1"/>
  <c r="CU79" i="1" s="1"/>
  <c r="AE106" i="1"/>
  <c r="AE62" i="1" s="1"/>
  <c r="E106" i="1"/>
  <c r="E62" i="1" s="1"/>
  <c r="CS97" i="1"/>
  <c r="CU97" i="1" s="1"/>
  <c r="CS89" i="1"/>
  <c r="CU89" i="1" s="1"/>
  <c r="W106" i="1"/>
  <c r="W62" i="1" s="1"/>
  <c r="CW73" i="1"/>
  <c r="CW84" i="1"/>
  <c r="CV85" i="1"/>
  <c r="CV78" i="1"/>
  <c r="CW78" i="1"/>
  <c r="AU106" i="1"/>
  <c r="AU62" i="1" s="1"/>
  <c r="CS78" i="1"/>
  <c r="CU78" i="1" s="1"/>
  <c r="G106" i="1"/>
  <c r="G62" i="1" s="1"/>
  <c r="BN106" i="1"/>
  <c r="BN62" i="1" s="1"/>
  <c r="CV94" i="1"/>
  <c r="CW94" i="1"/>
  <c r="CP73" i="1"/>
  <c r="AP106" i="1"/>
  <c r="AP62" i="1" s="1"/>
  <c r="CR95" i="1"/>
  <c r="CW90" i="1"/>
  <c r="CW72" i="1"/>
  <c r="CV82" i="1"/>
  <c r="CW80" i="1"/>
  <c r="CV83" i="1"/>
  <c r="CV80" i="1"/>
  <c r="CP100" i="1"/>
  <c r="CR100" i="1"/>
  <c r="CS82" i="1"/>
  <c r="CU82" i="1" s="1"/>
  <c r="CS72" i="1"/>
  <c r="CU72" i="1" s="1"/>
  <c r="CP75" i="1"/>
  <c r="CV72" i="1"/>
  <c r="CR97" i="1"/>
  <c r="CP86" i="1"/>
  <c r="CR86" i="1"/>
  <c r="CP74" i="1"/>
  <c r="CS80" i="1"/>
  <c r="CS94" i="1"/>
  <c r="CU94" i="1" s="1"/>
  <c r="BR106" i="1"/>
  <c r="BR62" i="1" s="1"/>
  <c r="N106" i="1"/>
  <c r="N62" i="1" s="1"/>
  <c r="CW76" i="1"/>
  <c r="CW74" i="1"/>
  <c r="CV76" i="1"/>
  <c r="BD106" i="1"/>
  <c r="BD62" i="1" s="1"/>
  <c r="CR92" i="1"/>
  <c r="CS76" i="1"/>
  <c r="AB106" i="1"/>
  <c r="AB62" i="1" s="1"/>
  <c r="CR88" i="1"/>
  <c r="CP93" i="1"/>
  <c r="CR93" i="1"/>
  <c r="AI106" i="1"/>
  <c r="AI62" i="1" s="1"/>
  <c r="CW77" i="1"/>
  <c r="CV77" i="1"/>
  <c r="CP87" i="1"/>
  <c r="CP84" i="1"/>
  <c r="CP89" i="1"/>
  <c r="CR89" i="1"/>
  <c r="CR78" i="1"/>
  <c r="CR73" i="1"/>
  <c r="CS88" i="1"/>
  <c r="CU88" i="1" s="1"/>
  <c r="CX103" i="1" l="1"/>
  <c r="CX101" i="1"/>
  <c r="CX102" i="1"/>
  <c r="CU101" i="1"/>
  <c r="CV91" i="1"/>
  <c r="CX85" i="1"/>
  <c r="AS91" i="1"/>
  <c r="AS106" i="1" s="1"/>
  <c r="AS62" i="1" s="1"/>
  <c r="CS77" i="1"/>
  <c r="CX77" i="1" s="1"/>
  <c r="CP132" i="1"/>
  <c r="CP147" i="1" s="1"/>
  <c r="AS147" i="1"/>
  <c r="G25" i="1"/>
  <c r="CX98" i="1"/>
  <c r="CX74" i="1"/>
  <c r="CX81" i="1"/>
  <c r="CX84" i="1"/>
  <c r="CX79" i="1"/>
  <c r="CX94" i="1"/>
  <c r="CU85" i="1"/>
  <c r="CX92" i="1"/>
  <c r="CX78" i="1"/>
  <c r="CX88" i="1"/>
  <c r="CX99" i="1"/>
  <c r="CX89" i="1"/>
  <c r="CX86" i="1"/>
  <c r="CX82" i="1"/>
  <c r="CX75" i="1"/>
  <c r="CX87" i="1"/>
  <c r="CU83" i="1"/>
  <c r="CX83" i="1"/>
  <c r="H25" i="1"/>
  <c r="I69" i="1"/>
  <c r="CX93" i="1"/>
  <c r="CX97" i="1"/>
  <c r="CU99" i="1"/>
  <c r="CX72" i="1"/>
  <c r="CX76" i="1"/>
  <c r="CU76" i="1"/>
  <c r="CX73" i="1"/>
  <c r="CU90" i="1"/>
  <c r="CX90" i="1"/>
  <c r="CX100" i="1"/>
  <c r="CX95" i="1"/>
  <c r="CU96" i="1"/>
  <c r="CX96" i="1"/>
  <c r="CU80" i="1"/>
  <c r="CX80" i="1"/>
  <c r="CU98" i="1"/>
  <c r="CP91" i="1" l="1"/>
  <c r="C28" i="1" s="1" a="1"/>
  <c r="C28" i="1" s="1"/>
  <c r="D188" i="1"/>
  <c r="CU77" i="1"/>
  <c r="CS91" i="1"/>
  <c r="CU91" i="1" s="1"/>
  <c r="CR91" i="1"/>
  <c r="I25" i="1"/>
  <c r="J69" i="1"/>
  <c r="CV60" i="1" l="1"/>
  <c r="BG60" i="1"/>
  <c r="BK60" i="1"/>
  <c r="CH60" i="1"/>
  <c r="F60" i="1"/>
  <c r="AK60" i="1"/>
  <c r="BF60" i="1"/>
  <c r="CW60" i="1"/>
  <c r="BI60" i="1"/>
  <c r="R60" i="1"/>
  <c r="BH60" i="1"/>
  <c r="AJ60" i="1"/>
  <c r="CS60" i="1"/>
  <c r="CJ60" i="1"/>
  <c r="CT60" i="1"/>
  <c r="AI60" i="1"/>
  <c r="T60" i="1"/>
  <c r="BJ60" i="1"/>
  <c r="Y60" i="1"/>
  <c r="CF60" i="1"/>
  <c r="CL60" i="1"/>
  <c r="S60" i="1"/>
  <c r="BN60" i="1"/>
  <c r="AM60" i="1"/>
  <c r="W60" i="1"/>
  <c r="N60" i="1"/>
  <c r="CB60" i="1"/>
  <c r="BM60" i="1"/>
  <c r="AQ60" i="1"/>
  <c r="BC60" i="1"/>
  <c r="AB60" i="1"/>
  <c r="CC60" i="1"/>
  <c r="V60" i="1"/>
  <c r="Q60" i="1"/>
  <c r="L60" i="1"/>
  <c r="AE60" i="1"/>
  <c r="CG60" i="1"/>
  <c r="CN60" i="1"/>
  <c r="BR60" i="1"/>
  <c r="AR60" i="1"/>
  <c r="BY60" i="1"/>
  <c r="O60" i="1"/>
  <c r="AG60" i="1"/>
  <c r="CU60" i="1"/>
  <c r="AF60" i="1"/>
  <c r="X60" i="1"/>
  <c r="AX60" i="1"/>
  <c r="J60" i="1"/>
  <c r="AN60" i="1"/>
  <c r="AY60" i="1"/>
  <c r="BU60" i="1"/>
  <c r="I60" i="1"/>
  <c r="CX60" i="1"/>
  <c r="AH60" i="1"/>
  <c r="CD60" i="1"/>
  <c r="E60" i="1"/>
  <c r="AL60" i="1"/>
  <c r="BW60" i="1"/>
  <c r="AT60" i="1"/>
  <c r="CR60" i="1"/>
  <c r="BL60" i="1"/>
  <c r="BP60" i="1"/>
  <c r="U60" i="1"/>
  <c r="BE60" i="1"/>
  <c r="CM60" i="1"/>
  <c r="AV60" i="1"/>
  <c r="BQ60" i="1"/>
  <c r="BA60" i="1"/>
  <c r="AA60" i="1"/>
  <c r="CP60" i="1"/>
  <c r="AU60" i="1"/>
  <c r="CK60" i="1"/>
  <c r="BZ60" i="1"/>
  <c r="AW60" i="1"/>
  <c r="AP60" i="1"/>
  <c r="AS60" i="1"/>
  <c r="Z60" i="1"/>
  <c r="G60" i="1"/>
  <c r="H60" i="1"/>
  <c r="BO60" i="1"/>
  <c r="P60" i="1"/>
  <c r="BT60" i="1"/>
  <c r="AO60" i="1"/>
  <c r="AC60" i="1"/>
  <c r="AZ60" i="1"/>
  <c r="K60" i="1"/>
  <c r="BD60" i="1"/>
  <c r="CI60" i="1"/>
  <c r="BV60" i="1"/>
  <c r="M60" i="1"/>
  <c r="BB60" i="1"/>
  <c r="BS60" i="1"/>
  <c r="CE60" i="1"/>
  <c r="CA60" i="1"/>
  <c r="D60" i="1"/>
  <c r="BX60" i="1"/>
  <c r="AD60" i="1"/>
  <c r="D108" i="1"/>
  <c r="AS35" i="1"/>
  <c r="CX91" i="1"/>
  <c r="J25" i="1"/>
  <c r="K69" i="1"/>
  <c r="BA30" i="1" l="1"/>
  <c r="BM46" i="1"/>
  <c r="CG40" i="1"/>
  <c r="AH55" i="1"/>
  <c r="CK53" i="1"/>
  <c r="CD34" i="1"/>
  <c r="CB56" i="1"/>
  <c r="CB39" i="1"/>
  <c r="CA34" i="1"/>
  <c r="CD54" i="1"/>
  <c r="AP58" i="1"/>
  <c r="BZ33" i="1"/>
  <c r="Y32" i="1"/>
  <c r="BP57" i="1"/>
  <c r="R31" i="1"/>
  <c r="AD44" i="1"/>
  <c r="CI37" i="1"/>
  <c r="D58" i="1"/>
  <c r="D45" i="1"/>
  <c r="CD58" i="1"/>
  <c r="AS57" i="1"/>
  <c r="D34" i="1"/>
  <c r="Z57" i="1"/>
  <c r="BQ41" i="1"/>
  <c r="CN55" i="1"/>
  <c r="CN41" i="1"/>
  <c r="CN53" i="1"/>
  <c r="CN39" i="1"/>
  <c r="CN38" i="1"/>
  <c r="CN34" i="1"/>
  <c r="CN59" i="1"/>
  <c r="CN54" i="1"/>
  <c r="CN40" i="1"/>
  <c r="CN52" i="1"/>
  <c r="CN35" i="1"/>
  <c r="CN45" i="1"/>
  <c r="CN51" i="1"/>
  <c r="CN37" i="1"/>
  <c r="CN50" i="1"/>
  <c r="CN36" i="1"/>
  <c r="CN49" i="1"/>
  <c r="CN48" i="1"/>
  <c r="CN47" i="1"/>
  <c r="CN33" i="1"/>
  <c r="CN46" i="1"/>
  <c r="CN32" i="1"/>
  <c r="CN31" i="1"/>
  <c r="CN58" i="1"/>
  <c r="CN44" i="1"/>
  <c r="CN30" i="1"/>
  <c r="CN57" i="1"/>
  <c r="CN43" i="1"/>
  <c r="CN29" i="1"/>
  <c r="CN56" i="1"/>
  <c r="CN42" i="1"/>
  <c r="BZ42" i="1"/>
  <c r="CI54" i="1"/>
  <c r="CK57" i="1"/>
  <c r="T31" i="1"/>
  <c r="BY37" i="1"/>
  <c r="CC56" i="1"/>
  <c r="BS36" i="1"/>
  <c r="AU31" i="1"/>
  <c r="BY32" i="1"/>
  <c r="CI36" i="1"/>
  <c r="N58" i="1"/>
  <c r="BV35" i="1"/>
  <c r="AN32" i="1"/>
  <c r="CB38" i="1"/>
  <c r="K31" i="1"/>
  <c r="CH56" i="1"/>
  <c r="BY53" i="1"/>
  <c r="CH47" i="1"/>
  <c r="CJ45" i="1"/>
  <c r="BW37" i="1"/>
  <c r="BW34" i="1"/>
  <c r="CA41" i="1"/>
  <c r="BN32" i="1"/>
  <c r="BI43" i="1"/>
  <c r="AA30" i="1"/>
  <c r="CG38" i="1"/>
  <c r="CS58" i="1"/>
  <c r="K38" i="1"/>
  <c r="AK42" i="1"/>
  <c r="AB36" i="1"/>
  <c r="P46" i="1"/>
  <c r="CI47" i="1"/>
  <c r="BN33" i="1"/>
  <c r="CR57" i="1"/>
  <c r="BO58" i="1"/>
  <c r="BG38" i="1"/>
  <c r="W54" i="1"/>
  <c r="AO30" i="1"/>
  <c r="T41" i="1"/>
  <c r="CH55" i="1"/>
  <c r="BC57" i="1"/>
  <c r="W52" i="1"/>
  <c r="CI44" i="1"/>
  <c r="CK29" i="1"/>
  <c r="BL31" i="1"/>
  <c r="BF31" i="1"/>
  <c r="AJ32" i="1"/>
  <c r="T55" i="1"/>
  <c r="AW33" i="1"/>
  <c r="AW58" i="1"/>
  <c r="AR54" i="1"/>
  <c r="CH34" i="1"/>
  <c r="CG35" i="1"/>
  <c r="H36" i="1"/>
  <c r="BI46" i="1"/>
  <c r="AK36" i="1"/>
  <c r="AE40" i="1"/>
  <c r="CD29" i="1"/>
  <c r="AR58" i="1"/>
  <c r="H33" i="1"/>
  <c r="CE47" i="1"/>
  <c r="CR35" i="1"/>
  <c r="CS32" i="1"/>
  <c r="AW54" i="1"/>
  <c r="V31" i="1"/>
  <c r="M57" i="1"/>
  <c r="CX33" i="1"/>
  <c r="AZ57" i="1"/>
  <c r="BR36" i="1"/>
  <c r="CE36" i="1"/>
  <c r="CC38" i="1"/>
  <c r="CD57" i="1"/>
  <c r="BM30" i="1"/>
  <c r="CV36" i="1"/>
  <c r="CH58" i="1"/>
  <c r="AL47" i="1"/>
  <c r="CJ32" i="1"/>
  <c r="BD39" i="1"/>
  <c r="CD30" i="1"/>
  <c r="CB29" i="1"/>
  <c r="AW57" i="1"/>
  <c r="BL58" i="1"/>
  <c r="AM58" i="1"/>
  <c r="BZ52" i="1"/>
  <c r="D46" i="1"/>
  <c r="CM55" i="1"/>
  <c r="CM41" i="1"/>
  <c r="CM54" i="1"/>
  <c r="CM40" i="1"/>
  <c r="CM39" i="1"/>
  <c r="CM52" i="1"/>
  <c r="CM38" i="1"/>
  <c r="CM51" i="1"/>
  <c r="CM37" i="1"/>
  <c r="CM36" i="1"/>
  <c r="CM49" i="1"/>
  <c r="CM48" i="1"/>
  <c r="CM34" i="1"/>
  <c r="CM47" i="1"/>
  <c r="CM33" i="1"/>
  <c r="CM30" i="1"/>
  <c r="CM43" i="1"/>
  <c r="CM56" i="1"/>
  <c r="CM53" i="1"/>
  <c r="CM50" i="1"/>
  <c r="CM35" i="1"/>
  <c r="CM46" i="1"/>
  <c r="CM32" i="1"/>
  <c r="CM59" i="1"/>
  <c r="CM45" i="1"/>
  <c r="CM31" i="1"/>
  <c r="CM58" i="1"/>
  <c r="CM44" i="1"/>
  <c r="CM57" i="1"/>
  <c r="CM29" i="1"/>
  <c r="CM42" i="1"/>
  <c r="CC33" i="1"/>
  <c r="AP53" i="1"/>
  <c r="BW32" i="1"/>
  <c r="BP30" i="1"/>
  <c r="CF46" i="1"/>
  <c r="CK43" i="1"/>
  <c r="CJ43" i="1"/>
  <c r="AD40" i="1"/>
  <c r="CC52" i="1"/>
  <c r="AX44" i="1"/>
  <c r="CF50" i="1"/>
  <c r="BP33" i="1"/>
  <c r="CJ37" i="1"/>
  <c r="AY33" i="1"/>
  <c r="AO41" i="1"/>
  <c r="CH51" i="1"/>
  <c r="CC49" i="1"/>
  <c r="CI35" i="1"/>
  <c r="BY47" i="1"/>
  <c r="AA29" i="1"/>
  <c r="AJ57" i="1"/>
  <c r="AY30" i="1"/>
  <c r="BZ57" i="1"/>
  <c r="BY44" i="1"/>
  <c r="BG58" i="1"/>
  <c r="BG33" i="1"/>
  <c r="CB42" i="1"/>
  <c r="BC58" i="1"/>
  <c r="BZ35" i="1"/>
  <c r="BV41" i="1"/>
  <c r="CI33" i="1"/>
  <c r="AI36" i="1"/>
  <c r="Z43" i="1"/>
  <c r="CG47" i="1"/>
  <c r="CC29" i="1"/>
  <c r="D57" i="1"/>
  <c r="BY54" i="1"/>
  <c r="BK32" i="1"/>
  <c r="AX58" i="1"/>
  <c r="AH32" i="1"/>
  <c r="BH58" i="1"/>
  <c r="BF32" i="1"/>
  <c r="BN58" i="1"/>
  <c r="BM36" i="1"/>
  <c r="BZ46" i="1"/>
  <c r="P58" i="1"/>
  <c r="L41" i="1"/>
  <c r="AJ58" i="1"/>
  <c r="CJ42" i="1"/>
  <c r="CF47" i="1"/>
  <c r="BH31" i="1"/>
  <c r="AT46" i="1"/>
  <c r="O58" i="1"/>
  <c r="AC29" i="1"/>
  <c r="AC57" i="1"/>
  <c r="CV32" i="1"/>
  <c r="BR39" i="1"/>
  <c r="CG29" i="1"/>
  <c r="BT44" i="1"/>
  <c r="H58" i="1"/>
  <c r="P40" i="1"/>
  <c r="AD58" i="1"/>
  <c r="K40" i="1"/>
  <c r="BV34" i="1"/>
  <c r="CE54" i="1"/>
  <c r="S38" i="1"/>
  <c r="CF34" i="1"/>
  <c r="CS36" i="1"/>
  <c r="CF38" i="1"/>
  <c r="AS29" i="1"/>
  <c r="BE51" i="1"/>
  <c r="BW58" i="1"/>
  <c r="BB30" i="1"/>
  <c r="K58" i="1"/>
  <c r="AJ29" i="1"/>
  <c r="AC34" i="1"/>
  <c r="CG52" i="1"/>
  <c r="AD48" i="1"/>
  <c r="J58" i="1"/>
  <c r="AY42" i="1"/>
  <c r="CK42" i="1"/>
  <c r="F31" i="1"/>
  <c r="AG30" i="1"/>
  <c r="CD31" i="1"/>
  <c r="F55" i="1"/>
  <c r="CE29" i="1"/>
  <c r="BM44" i="1"/>
  <c r="BR57" i="1"/>
  <c r="CC41" i="1"/>
  <c r="AI58" i="1"/>
  <c r="CC44" i="1"/>
  <c r="BF46" i="1"/>
  <c r="K57" i="1"/>
  <c r="CK36" i="1"/>
  <c r="L36" i="1"/>
  <c r="N57" i="1"/>
  <c r="BM33" i="1"/>
  <c r="H43" i="1"/>
  <c r="CE30" i="1"/>
  <c r="CP29" i="1"/>
  <c r="CJ30" i="1"/>
  <c r="AR35" i="1"/>
  <c r="CG53" i="1"/>
  <c r="S43" i="1"/>
  <c r="CX32" i="1"/>
  <c r="AO33" i="1"/>
  <c r="CU58" i="1"/>
  <c r="BL29" i="1"/>
  <c r="AH57" i="1"/>
  <c r="CB34" i="1"/>
  <c r="CT48" i="1"/>
  <c r="AA57" i="1"/>
  <c r="CK55" i="1"/>
  <c r="W33" i="1"/>
  <c r="CK45" i="1"/>
  <c r="CT40" i="1"/>
  <c r="CP45" i="1"/>
  <c r="CE40" i="1"/>
  <c r="E41" i="1"/>
  <c r="CH46" i="1"/>
  <c r="T39" i="1"/>
  <c r="CA40" i="1"/>
  <c r="U53" i="1"/>
  <c r="BT36" i="1"/>
  <c r="AW40" i="1"/>
  <c r="CJ56" i="1"/>
  <c r="G39" i="1"/>
  <c r="BS51" i="1"/>
  <c r="BZ40" i="1"/>
  <c r="CT49" i="1"/>
  <c r="AL58" i="1"/>
  <c r="CA52" i="1"/>
  <c r="O30" i="1"/>
  <c r="BJ58" i="1"/>
  <c r="CF56" i="1"/>
  <c r="CK58" i="1"/>
  <c r="CE55" i="1"/>
  <c r="P50" i="1"/>
  <c r="I45" i="1"/>
  <c r="CB54" i="1"/>
  <c r="BH48" i="1"/>
  <c r="CD41" i="1"/>
  <c r="G35" i="1"/>
  <c r="BH34" i="1"/>
  <c r="AP44" i="1"/>
  <c r="AG43" i="1"/>
  <c r="BV57" i="1"/>
  <c r="BY48" i="1"/>
  <c r="CN28" i="1"/>
  <c r="CL54" i="1"/>
  <c r="CL40" i="1"/>
  <c r="CL52" i="1"/>
  <c r="CL37" i="1"/>
  <c r="CL50" i="1"/>
  <c r="CL36" i="1"/>
  <c r="CL35" i="1"/>
  <c r="CL48" i="1"/>
  <c r="CL34" i="1"/>
  <c r="CL47" i="1"/>
  <c r="CL33" i="1"/>
  <c r="CL46" i="1"/>
  <c r="CL32" i="1"/>
  <c r="CL45" i="1"/>
  <c r="CL31" i="1"/>
  <c r="CL58" i="1"/>
  <c r="CL30" i="1"/>
  <c r="CL43" i="1"/>
  <c r="CL56" i="1"/>
  <c r="CL42" i="1"/>
  <c r="CL55" i="1"/>
  <c r="CL53" i="1"/>
  <c r="CL39" i="1"/>
  <c r="CL38" i="1"/>
  <c r="CL51" i="1"/>
  <c r="CL49" i="1"/>
  <c r="CL59" i="1"/>
  <c r="CL44" i="1"/>
  <c r="CL57" i="1"/>
  <c r="CL29" i="1"/>
  <c r="CL41" i="1"/>
  <c r="T59" i="1"/>
  <c r="AS59" i="1"/>
  <c r="BX59" i="1"/>
  <c r="I59" i="1"/>
  <c r="AK59" i="1"/>
  <c r="E59" i="1"/>
  <c r="L59" i="1"/>
  <c r="CB59" i="1"/>
  <c r="AY59" i="1"/>
  <c r="V59" i="1"/>
  <c r="CX59" i="1"/>
  <c r="BD59" i="1"/>
  <c r="BY59" i="1"/>
  <c r="CT59" i="1"/>
  <c r="CG59" i="1"/>
  <c r="CI59" i="1"/>
  <c r="CA59" i="1"/>
  <c r="AC59" i="1"/>
  <c r="BV59" i="1"/>
  <c r="BR59" i="1"/>
  <c r="AM59" i="1"/>
  <c r="AV59" i="1"/>
  <c r="U59" i="1"/>
  <c r="BT59" i="1"/>
  <c r="BA59" i="1"/>
  <c r="W59" i="1"/>
  <c r="S59" i="1"/>
  <c r="O59" i="1"/>
  <c r="AZ59" i="1"/>
  <c r="CU59" i="1"/>
  <c r="AQ59" i="1"/>
  <c r="BK59" i="1"/>
  <c r="BP59" i="1"/>
  <c r="Q59" i="1"/>
  <c r="AP59" i="1"/>
  <c r="Y59" i="1"/>
  <c r="CK59" i="1"/>
  <c r="P59" i="1"/>
  <c r="BU59" i="1"/>
  <c r="CE59" i="1"/>
  <c r="BH59" i="1"/>
  <c r="CF59" i="1"/>
  <c r="M59" i="1"/>
  <c r="BF59" i="1"/>
  <c r="CR59" i="1"/>
  <c r="AA59" i="1"/>
  <c r="BZ59" i="1"/>
  <c r="BS59" i="1"/>
  <c r="BI59" i="1"/>
  <c r="AW59" i="1"/>
  <c r="CH59" i="1"/>
  <c r="H59" i="1"/>
  <c r="AH59" i="1"/>
  <c r="BB59" i="1"/>
  <c r="CD59" i="1"/>
  <c r="AG59" i="1"/>
  <c r="AJ59" i="1"/>
  <c r="AB59" i="1"/>
  <c r="K59" i="1"/>
  <c r="BC59" i="1"/>
  <c r="AD59" i="1"/>
  <c r="CW59" i="1"/>
  <c r="J59" i="1"/>
  <c r="AT59" i="1"/>
  <c r="AL59" i="1"/>
  <c r="X59" i="1"/>
  <c r="CP59" i="1"/>
  <c r="D59" i="1"/>
  <c r="BW59" i="1"/>
  <c r="AX59" i="1"/>
  <c r="CS59" i="1"/>
  <c r="AU59" i="1"/>
  <c r="BO59" i="1"/>
  <c r="BQ59" i="1"/>
  <c r="AN59" i="1"/>
  <c r="BJ59" i="1"/>
  <c r="R59" i="1"/>
  <c r="N59" i="1"/>
  <c r="BN59" i="1"/>
  <c r="CC59" i="1"/>
  <c r="AR59" i="1"/>
  <c r="AO59" i="1"/>
  <c r="Z59" i="1"/>
  <c r="F59" i="1"/>
  <c r="G59" i="1"/>
  <c r="BG59" i="1"/>
  <c r="BM59" i="1"/>
  <c r="BL59" i="1"/>
  <c r="BE59" i="1"/>
  <c r="AE59" i="1"/>
  <c r="CJ59" i="1"/>
  <c r="AI59" i="1"/>
  <c r="AF59" i="1"/>
  <c r="CV59" i="1"/>
  <c r="V57" i="1"/>
  <c r="BY36" i="1"/>
  <c r="N39" i="1"/>
  <c r="CU36" i="1"/>
  <c r="AY48" i="1"/>
  <c r="CK44" i="1"/>
  <c r="BF48" i="1"/>
  <c r="CA31" i="1"/>
  <c r="V29" i="1"/>
  <c r="CW32" i="1"/>
  <c r="AT31" i="1"/>
  <c r="CH37" i="1"/>
  <c r="S32" i="1"/>
  <c r="BF34" i="1"/>
  <c r="BF57" i="1"/>
  <c r="CX58" i="1"/>
  <c r="CA56" i="1"/>
  <c r="CA58" i="1"/>
  <c r="CG45" i="1"/>
  <c r="H38" i="1"/>
  <c r="BJ41" i="1"/>
  <c r="L58" i="1"/>
  <c r="D32" i="1"/>
  <c r="BU38" i="1"/>
  <c r="AY58" i="1"/>
  <c r="E36" i="1"/>
  <c r="I49" i="1"/>
  <c r="CD36" i="1"/>
  <c r="AH39" i="1"/>
  <c r="CI34" i="1"/>
  <c r="AN41" i="1"/>
  <c r="L32" i="1"/>
  <c r="Z32" i="1"/>
  <c r="AD38" i="1"/>
  <c r="BE35" i="1"/>
  <c r="BY58" i="1"/>
  <c r="CH52" i="1"/>
  <c r="AG34" i="1"/>
  <c r="Z38" i="1"/>
  <c r="AS58" i="1"/>
  <c r="BD57" i="1"/>
  <c r="CA54" i="1"/>
  <c r="BG57" i="1"/>
  <c r="CF48" i="1"/>
  <c r="CT35" i="1"/>
  <c r="AE47" i="1"/>
  <c r="L57" i="1"/>
  <c r="AM34" i="1"/>
  <c r="BL40" i="1"/>
  <c r="X57" i="1"/>
  <c r="AK33" i="1"/>
  <c r="H51" i="1"/>
  <c r="CC42" i="1"/>
  <c r="AG41" i="1"/>
  <c r="CH49" i="1"/>
  <c r="CT32" i="1"/>
  <c r="O35" i="1"/>
  <c r="BG30" i="1"/>
  <c r="BM54" i="1"/>
  <c r="AR42" i="1"/>
  <c r="CU57" i="1"/>
  <c r="CG37" i="1"/>
  <c r="AU36" i="1"/>
  <c r="BI41" i="1"/>
  <c r="BO57" i="1"/>
  <c r="CF58" i="1"/>
  <c r="BO30" i="1"/>
  <c r="Y58" i="1"/>
  <c r="CF51" i="1"/>
  <c r="AY38" i="1"/>
  <c r="W49" i="1"/>
  <c r="AF57" i="1"/>
  <c r="CS29" i="1"/>
  <c r="CS42" i="1"/>
  <c r="S58" i="1"/>
  <c r="BL36" i="1"/>
  <c r="N53" i="1"/>
  <c r="CB48" i="1"/>
  <c r="BS32" i="1"/>
  <c r="CF49" i="1"/>
  <c r="U31" i="1"/>
  <c r="J33" i="1"/>
  <c r="W50" i="1"/>
  <c r="AR32" i="1"/>
  <c r="G30" i="1"/>
  <c r="CG48" i="1"/>
  <c r="AG36" i="1"/>
  <c r="BI37" i="1"/>
  <c r="AI57" i="1"/>
  <c r="BZ36" i="1"/>
  <c r="I54" i="1"/>
  <c r="BA58" i="1"/>
  <c r="CC45" i="1"/>
  <c r="AD42" i="1"/>
  <c r="BM49" i="1"/>
  <c r="CI29" i="1"/>
  <c r="E34" i="1"/>
  <c r="N35" i="1"/>
  <c r="AD31" i="1"/>
  <c r="CK38" i="1"/>
  <c r="CB50" i="1"/>
  <c r="G29" i="1"/>
  <c r="L37" i="1"/>
  <c r="W37" i="1"/>
  <c r="CF35" i="1"/>
  <c r="AE34" i="1"/>
  <c r="AJ31" i="1"/>
  <c r="CK47" i="1"/>
  <c r="BY52" i="1"/>
  <c r="AX31" i="1"/>
  <c r="BI58" i="1"/>
  <c r="CB32" i="1"/>
  <c r="AR46" i="1"/>
  <c r="AI52" i="1"/>
  <c r="CH42" i="1"/>
  <c r="BV29" i="1"/>
  <c r="BD40" i="1"/>
  <c r="BM50" i="1"/>
  <c r="BJ44" i="1"/>
  <c r="AG58" i="1"/>
  <c r="CK49" i="1"/>
  <c r="CB53" i="1"/>
  <c r="BX30" i="1"/>
  <c r="Z41" i="1"/>
  <c r="M55" i="1"/>
  <c r="CK35" i="1"/>
  <c r="CB37" i="1"/>
  <c r="AQ36" i="1"/>
  <c r="E37" i="1"/>
  <c r="H37" i="1"/>
  <c r="CJ29" i="1"/>
  <c r="CA38" i="1"/>
  <c r="BU33" i="1"/>
  <c r="Z40" i="1"/>
  <c r="CW40" i="1"/>
  <c r="CF37" i="1"/>
  <c r="AQ30" i="1"/>
  <c r="BJ36" i="1"/>
  <c r="CJ39" i="1"/>
  <c r="K32" i="1"/>
  <c r="R38" i="1"/>
  <c r="BU57" i="1"/>
  <c r="CA33" i="1"/>
  <c r="AR50" i="1"/>
  <c r="BC55" i="1"/>
  <c r="CG39" i="1"/>
  <c r="BE36" i="1"/>
  <c r="AS32" i="1"/>
  <c r="CK48" i="1"/>
  <c r="AL57" i="1"/>
  <c r="CD32" i="1"/>
  <c r="L34" i="1"/>
  <c r="AR52" i="1"/>
  <c r="BB43" i="1"/>
  <c r="BI39" i="1"/>
  <c r="G58" i="1"/>
  <c r="CD51" i="1"/>
  <c r="P33" i="1"/>
  <c r="F35" i="1"/>
  <c r="BG50" i="1"/>
  <c r="BV58" i="1"/>
  <c r="CI53" i="1"/>
  <c r="BZ47" i="1"/>
  <c r="AZ33" i="1"/>
  <c r="CP39" i="1"/>
  <c r="N40" i="1"/>
  <c r="CI48" i="1"/>
  <c r="BZ30" i="1"/>
  <c r="W40" i="1"/>
  <c r="AD35" i="1"/>
  <c r="BB58" i="1"/>
  <c r="CH31" i="1"/>
  <c r="BY29" i="1"/>
  <c r="BM42" i="1"/>
  <c r="AB39" i="1"/>
  <c r="CR58" i="1"/>
  <c r="CC30" i="1"/>
  <c r="CT36" i="1"/>
  <c r="CV45" i="1"/>
  <c r="CG33" i="1"/>
  <c r="F29" i="1"/>
  <c r="BP37" i="1"/>
  <c r="T58" i="1"/>
  <c r="BH32" i="1"/>
  <c r="BL38" i="1"/>
  <c r="BQ45" i="1"/>
  <c r="CD49" i="1"/>
  <c r="P34" i="1"/>
  <c r="AF44" i="1"/>
  <c r="G48" i="1"/>
  <c r="CJ57" i="1"/>
  <c r="R57" i="1"/>
  <c r="CJ46" i="1"/>
  <c r="CB43" i="1"/>
  <c r="CW58" i="1"/>
  <c r="CG41" i="1"/>
  <c r="BZ55" i="1"/>
  <c r="V35" i="1"/>
  <c r="BX39" i="1"/>
  <c r="BT49" i="1"/>
  <c r="AB58" i="1"/>
  <c r="CC57" i="1"/>
  <c r="CI49" i="1"/>
  <c r="CB44" i="1"/>
  <c r="BT34" i="1"/>
  <c r="CK52" i="1"/>
  <c r="M58" i="1"/>
  <c r="CC53" i="1"/>
  <c r="AN36" i="1"/>
  <c r="BT54" i="1"/>
  <c r="AM45" i="1"/>
  <c r="S42" i="1"/>
  <c r="CB57" i="1"/>
  <c r="CC39" i="1"/>
  <c r="AX36" i="1"/>
  <c r="F39" i="1"/>
  <c r="AX52" i="1"/>
  <c r="AZ58" i="1"/>
  <c r="CI50" i="1"/>
  <c r="BZ44" i="1"/>
  <c r="BF36" i="1"/>
  <c r="AP30" i="1"/>
  <c r="S44" i="1"/>
  <c r="CH32" i="1"/>
  <c r="BY30" i="1"/>
  <c r="BF42" i="1"/>
  <c r="U39" i="1"/>
  <c r="BD58" i="1"/>
  <c r="CG34" i="1"/>
  <c r="AF32" i="1"/>
  <c r="W46" i="1"/>
  <c r="AA41" i="1"/>
  <c r="CX57" i="1"/>
  <c r="CB55" i="1"/>
  <c r="BM40" i="1"/>
  <c r="AK49" i="1"/>
  <c r="CF44" i="1"/>
  <c r="AV34" i="1"/>
  <c r="AY31" i="1"/>
  <c r="CK56" i="1"/>
  <c r="BE29" i="1"/>
  <c r="CR29" i="1"/>
  <c r="BQ58" i="1"/>
  <c r="CD40" i="1"/>
  <c r="AK38" i="1"/>
  <c r="AS47" i="1"/>
  <c r="CA39" i="1"/>
  <c r="AH54" i="1"/>
  <c r="CE53" i="1"/>
  <c r="AC35" i="1"/>
  <c r="F41" i="1"/>
  <c r="CI32" i="1"/>
  <c r="BG29" i="1"/>
  <c r="AO40" i="1"/>
  <c r="AQ57" i="1"/>
  <c r="CB45" i="1"/>
  <c r="AY46" i="1"/>
  <c r="BU52" i="1"/>
  <c r="CJ58" i="1"/>
  <c r="CX34" i="1"/>
  <c r="S57" i="1"/>
  <c r="CE44" i="1"/>
  <c r="AM30" i="1"/>
  <c r="AY36" i="1"/>
  <c r="AS36" i="1"/>
  <c r="AA55" i="1"/>
  <c r="CK31" i="1"/>
  <c r="BR58" i="1"/>
  <c r="CH45" i="1"/>
  <c r="BZ56" i="1"/>
  <c r="T57" i="1"/>
  <c r="CI43" i="1"/>
  <c r="CJ44" i="1"/>
  <c r="CB51" i="1"/>
  <c r="D31" i="1"/>
  <c r="AA39" i="1"/>
  <c r="O51" i="1"/>
  <c r="I37" i="1"/>
  <c r="CJ48" i="1"/>
  <c r="CA46" i="1"/>
  <c r="BS35" i="1"/>
  <c r="BO35" i="1"/>
  <c r="P36" i="1"/>
  <c r="CT57" i="1"/>
  <c r="CG36" i="1"/>
  <c r="R32" i="1"/>
  <c r="I46" i="1"/>
  <c r="M41" i="1"/>
  <c r="E58" i="1"/>
  <c r="CF42" i="1"/>
  <c r="Z30" i="1"/>
  <c r="I52" i="1"/>
  <c r="R45" i="1"/>
  <c r="BE57" i="1"/>
  <c r="CE48" i="1"/>
  <c r="BP32" i="1"/>
  <c r="BF54" i="1"/>
  <c r="X47" i="1"/>
  <c r="BZ58" i="1"/>
  <c r="BZ37" i="1"/>
  <c r="CT52" i="1"/>
  <c r="AO57" i="1"/>
  <c r="CD52" i="1"/>
  <c r="Q33" i="1"/>
  <c r="BP43" i="1"/>
  <c r="CH36" i="1"/>
  <c r="T36" i="1"/>
  <c r="AB32" i="1"/>
  <c r="CE57" i="1"/>
  <c r="CA32" i="1"/>
  <c r="AY50" i="1"/>
  <c r="BJ55" i="1"/>
  <c r="AD57" i="1"/>
  <c r="P52" i="1"/>
  <c r="CU34" i="1"/>
  <c r="BA32" i="1"/>
  <c r="I58" i="1"/>
  <c r="BJ57" i="1"/>
  <c r="BZ41" i="1"/>
  <c r="CA43" i="1"/>
  <c r="O40" i="1"/>
  <c r="AL33" i="1"/>
  <c r="CS39" i="1"/>
  <c r="CF29" i="1"/>
  <c r="AR48" i="1"/>
  <c r="AX57" i="1"/>
  <c r="BI32" i="1"/>
  <c r="Q47" i="1"/>
  <c r="BP58" i="1"/>
  <c r="CE51" i="1"/>
  <c r="Z36" i="1"/>
  <c r="E31" i="1"/>
  <c r="AD49" i="1"/>
  <c r="CK34" i="1"/>
  <c r="BY41" i="1"/>
  <c r="AI31" i="1"/>
  <c r="CC55" i="1"/>
  <c r="H46" i="1"/>
  <c r="CG54" i="1"/>
  <c r="AM31" i="1"/>
  <c r="AX38" i="1"/>
  <c r="I57" i="1"/>
  <c r="BZ53" i="1"/>
  <c r="CT54" i="1"/>
  <c r="CP33" i="1"/>
  <c r="CF55" i="1"/>
  <c r="Y45" i="1"/>
  <c r="CE52" i="1"/>
  <c r="BE38" i="1"/>
  <c r="CG55" i="1"/>
  <c r="CH43" i="1"/>
  <c r="AX32" i="1"/>
  <c r="CI55" i="1"/>
  <c r="CC58" i="1"/>
  <c r="L43" i="1"/>
  <c r="AY54" i="1"/>
  <c r="BL57" i="1"/>
  <c r="AH58" i="1"/>
  <c r="CK46" i="1"/>
  <c r="CD44" i="1"/>
  <c r="BO34" i="1"/>
  <c r="P42" i="1"/>
  <c r="BI29" i="1"/>
  <c r="Q58" i="1"/>
  <c r="CJ31" i="1"/>
  <c r="AA58" i="1"/>
  <c r="CG42" i="1"/>
  <c r="BY31" i="1"/>
  <c r="BQ57" i="1"/>
  <c r="AU58" i="1"/>
  <c r="CI52" i="1"/>
  <c r="BZ49" i="1"/>
  <c r="CS35" i="1"/>
  <c r="BU31" i="1"/>
  <c r="BL54" i="1"/>
  <c r="L44" i="1"/>
  <c r="CI38" i="1"/>
  <c r="BZ31" i="1"/>
  <c r="U36" i="1"/>
  <c r="P30" i="1"/>
  <c r="BX43" i="1"/>
  <c r="Y57" i="1"/>
  <c r="CE42" i="1"/>
  <c r="S30" i="1"/>
  <c r="CT50" i="1"/>
  <c r="K45" i="1"/>
  <c r="BS58" i="1"/>
  <c r="CE38" i="1"/>
  <c r="S36" i="1"/>
  <c r="BF30" i="1"/>
  <c r="P49" i="1"/>
  <c r="CV58" i="1"/>
  <c r="CD33" i="1"/>
  <c r="BF33" i="1"/>
  <c r="BA36" i="1"/>
  <c r="AC51" i="1"/>
  <c r="CJ40" i="1"/>
  <c r="CV30" i="1"/>
  <c r="J38" i="1"/>
  <c r="O57" i="1"/>
  <c r="CB47" i="1"/>
  <c r="BT40" i="1"/>
  <c r="AR49" i="1"/>
  <c r="CF39" i="1"/>
  <c r="AX35" i="1"/>
  <c r="BC41" i="1"/>
  <c r="AU57" i="1"/>
  <c r="BY34" i="1"/>
  <c r="BJ32" i="1"/>
  <c r="Z42" i="1"/>
  <c r="I50" i="1"/>
  <c r="BT58" i="1"/>
  <c r="BT38" i="1"/>
  <c r="CK50" i="1"/>
  <c r="BE58" i="1"/>
  <c r="CI41" i="1"/>
  <c r="S41" i="1"/>
  <c r="G53" i="1"/>
  <c r="CA37" i="1"/>
  <c r="AP38" i="1"/>
  <c r="BA34" i="1"/>
  <c r="CE41" i="1"/>
  <c r="I38" i="1"/>
  <c r="R58" i="1"/>
  <c r="CK37" i="1"/>
  <c r="CD56" i="1"/>
  <c r="E30" i="1"/>
  <c r="AK44" i="1"/>
  <c r="M34" i="1"/>
  <c r="CI58" i="1"/>
  <c r="CJ36" i="1"/>
  <c r="CP58" i="1"/>
  <c r="CF32" i="1"/>
  <c r="BY51" i="1"/>
  <c r="BK57" i="1"/>
  <c r="H57" i="1"/>
  <c r="CH33" i="1"/>
  <c r="BZ45" i="1"/>
  <c r="AE33" i="1"/>
  <c r="AZ35" i="1"/>
  <c r="BD30" i="1"/>
  <c r="CG57" i="1"/>
  <c r="CH41" i="1"/>
  <c r="BY46" i="1"/>
  <c r="CT38" i="1"/>
  <c r="BQ34" i="1"/>
  <c r="BI57" i="1"/>
  <c r="BW57" i="1"/>
  <c r="CE39" i="1"/>
  <c r="BB32" i="1"/>
  <c r="AK54" i="1"/>
  <c r="J47" i="1"/>
  <c r="X58" i="1"/>
  <c r="CD47" i="1"/>
  <c r="AR33" i="1"/>
  <c r="BG35" i="1"/>
  <c r="V51" i="1"/>
  <c r="Q57" i="1"/>
  <c r="CC35" i="1"/>
  <c r="O38" i="1"/>
  <c r="AO39" i="1"/>
  <c r="AB53" i="1"/>
  <c r="CI39" i="1"/>
  <c r="O29" i="1"/>
  <c r="CS40" i="1"/>
  <c r="CG58" i="1"/>
  <c r="CA53" i="1"/>
  <c r="CT44" i="1"/>
  <c r="CS51" i="1"/>
  <c r="CE35" i="1"/>
  <c r="H34" i="1"/>
  <c r="Q44" i="1"/>
  <c r="CK54" i="1"/>
  <c r="BO32" i="1"/>
  <c r="M39" i="1"/>
  <c r="W57" i="1"/>
  <c r="BX57" i="1"/>
  <c r="V58" i="1"/>
  <c r="AO58" i="1"/>
  <c r="CJ33" i="1"/>
  <c r="CI45" i="1"/>
  <c r="CH50" i="1"/>
  <c r="CF53" i="1"/>
  <c r="CE33" i="1"/>
  <c r="CD45" i="1"/>
  <c r="CC51" i="1"/>
  <c r="CB36" i="1"/>
  <c r="BZ29" i="1"/>
  <c r="BY56" i="1"/>
  <c r="AF30" i="1"/>
  <c r="AQ29" i="1"/>
  <c r="AN34" i="1"/>
  <c r="O34" i="1"/>
  <c r="BA31" i="1"/>
  <c r="BW29" i="1"/>
  <c r="P38" i="1"/>
  <c r="I44" i="1"/>
  <c r="BM48" i="1"/>
  <c r="J29" i="1"/>
  <c r="BI36" i="1"/>
  <c r="AU41" i="1"/>
  <c r="S37" i="1"/>
  <c r="BQ29" i="1"/>
  <c r="AI39" i="1"/>
  <c r="BK42" i="1"/>
  <c r="AE46" i="1"/>
  <c r="AJ50" i="1"/>
  <c r="D54" i="1"/>
  <c r="AP33" i="1"/>
  <c r="AH42" i="1"/>
  <c r="AI46" i="1"/>
  <c r="CR33" i="1"/>
  <c r="BQ37" i="1"/>
  <c r="AI41" i="1"/>
  <c r="CP43" i="1"/>
  <c r="AE31" i="1"/>
  <c r="AR36" i="1"/>
  <c r="BX38" i="1"/>
  <c r="BJ43" i="1"/>
  <c r="AZ46" i="1"/>
  <c r="AO49" i="1"/>
  <c r="G52" i="1"/>
  <c r="BR54" i="1"/>
  <c r="O31" i="1"/>
  <c r="T35" i="1"/>
  <c r="BC31" i="1"/>
  <c r="AP35" i="1"/>
  <c r="AJ39" i="1"/>
  <c r="BC32" i="1"/>
  <c r="BB39" i="1"/>
  <c r="BL43" i="1"/>
  <c r="CS46" i="1"/>
  <c r="AI49" i="1"/>
  <c r="AG52" i="1"/>
  <c r="I55" i="1"/>
  <c r="BR33" i="1"/>
  <c r="M40" i="1"/>
  <c r="J44" i="1"/>
  <c r="T48" i="1"/>
  <c r="CW51" i="1"/>
  <c r="AN33" i="1"/>
  <c r="I39" i="1"/>
  <c r="AW43" i="1"/>
  <c r="AM46" i="1"/>
  <c r="E49" i="1"/>
  <c r="CX51" i="1"/>
  <c r="BN54" i="1"/>
  <c r="U33" i="1"/>
  <c r="BV39" i="1"/>
  <c r="U44" i="1"/>
  <c r="AL48" i="1"/>
  <c r="BJ31" i="1"/>
  <c r="CP31" i="1"/>
  <c r="BF37" i="1"/>
  <c r="G41" i="1"/>
  <c r="F45" i="1"/>
  <c r="CX47" i="1"/>
  <c r="S33" i="1"/>
  <c r="AC40" i="1"/>
  <c r="AO48" i="1"/>
  <c r="U58" i="1"/>
  <c r="BY57" i="1"/>
  <c r="BM58" i="1"/>
  <c r="BX58" i="1"/>
  <c r="CJ55" i="1"/>
  <c r="CI31" i="1"/>
  <c r="CF33" i="1"/>
  <c r="CE45" i="1"/>
  <c r="CD46" i="1"/>
  <c r="CC37" i="1"/>
  <c r="AV58" i="1"/>
  <c r="P57" i="1"/>
  <c r="Z58" i="1"/>
  <c r="J57" i="1"/>
  <c r="BA57" i="1"/>
  <c r="CJ52" i="1"/>
  <c r="CI30" i="1"/>
  <c r="CG49" i="1"/>
  <c r="CF45" i="1"/>
  <c r="CE31" i="1"/>
  <c r="CD38" i="1"/>
  <c r="CC50" i="1"/>
  <c r="CA35" i="1"/>
  <c r="BZ39" i="1"/>
  <c r="BY55" i="1"/>
  <c r="BH30" i="1"/>
  <c r="BS29" i="1"/>
  <c r="BB34" i="1"/>
  <c r="BD34" i="1"/>
  <c r="BV31" i="1"/>
  <c r="CP30" i="1"/>
  <c r="AR38" i="1"/>
  <c r="W44" i="1"/>
  <c r="AD50" i="1"/>
  <c r="Z29" i="1"/>
  <c r="CR36" i="1"/>
  <c r="AX30" i="1"/>
  <c r="AG37" i="1"/>
  <c r="BN31" i="1"/>
  <c r="AW39" i="1"/>
  <c r="AN43" i="1"/>
  <c r="AZ47" i="1"/>
  <c r="AJ51" i="1"/>
  <c r="AO55" i="1"/>
  <c r="AL34" i="1"/>
  <c r="BU42" i="1"/>
  <c r="AE29" i="1"/>
  <c r="BR34" i="1"/>
  <c r="D39" i="1"/>
  <c r="AY41" i="1"/>
  <c r="AA44" i="1"/>
  <c r="AV31" i="1"/>
  <c r="BU36" i="1"/>
  <c r="G40" i="1"/>
  <c r="T44" i="1"/>
  <c r="CX46" i="1"/>
  <c r="BS49" i="1"/>
  <c r="BB52" i="1"/>
  <c r="AB55" i="1"/>
  <c r="M32" i="1"/>
  <c r="X29" i="1"/>
  <c r="CU31" i="1"/>
  <c r="BP35" i="1"/>
  <c r="AZ39" i="1"/>
  <c r="CW33" i="1"/>
  <c r="CX39" i="1"/>
  <c r="CV43" i="1"/>
  <c r="AC47" i="1"/>
  <c r="BG49" i="1"/>
  <c r="AW52" i="1"/>
  <c r="AF55" i="1"/>
  <c r="Y35" i="1"/>
  <c r="BI40" i="1"/>
  <c r="BB44" i="1"/>
  <c r="T49" i="1"/>
  <c r="Z52" i="1"/>
  <c r="E35" i="1"/>
  <c r="AT39" i="1"/>
  <c r="BM43" i="1"/>
  <c r="BC46" i="1"/>
  <c r="AJ49" i="1"/>
  <c r="AH52" i="1"/>
  <c r="J55" i="1"/>
  <c r="BS33" i="1"/>
  <c r="Y40" i="1"/>
  <c r="AL44" i="1"/>
  <c r="CS48" i="1"/>
  <c r="E29" i="1"/>
  <c r="AA33" i="1"/>
  <c r="AB38" i="1"/>
  <c r="W58" i="1"/>
  <c r="CF57" i="1"/>
  <c r="AM57" i="1"/>
  <c r="CT58" i="1"/>
  <c r="AK58" i="1"/>
  <c r="AK57" i="1"/>
  <c r="AB57" i="1"/>
  <c r="CW57" i="1"/>
  <c r="CK30" i="1"/>
  <c r="CJ41" i="1"/>
  <c r="CH35" i="1"/>
  <c r="CG43" i="1"/>
  <c r="CF31" i="1"/>
  <c r="CE32" i="1"/>
  <c r="CD39" i="1"/>
  <c r="CC54" i="1"/>
  <c r="CA48" i="1"/>
  <c r="BZ48" i="1"/>
  <c r="BY39" i="1"/>
  <c r="AM32" i="1"/>
  <c r="AN30" i="1"/>
  <c r="BP34" i="1"/>
  <c r="V38" i="1"/>
  <c r="Q32" i="1"/>
  <c r="X33" i="1"/>
  <c r="BM38" i="1"/>
  <c r="AY44" i="1"/>
  <c r="BF50" i="1"/>
  <c r="AP29" i="1"/>
  <c r="AH38" i="1"/>
  <c r="M31" i="1"/>
  <c r="AU37" i="1"/>
  <c r="V34" i="1"/>
  <c r="CR39" i="1"/>
  <c r="BW43" i="1"/>
  <c r="BN47" i="1"/>
  <c r="AX51" i="1"/>
  <c r="BQ55" i="1"/>
  <c r="AL37" i="1"/>
  <c r="W43" i="1"/>
  <c r="AW29" i="1"/>
  <c r="S35" i="1"/>
  <c r="AC39" i="1"/>
  <c r="BO41" i="1"/>
  <c r="BV44" i="1"/>
  <c r="BG32" i="1"/>
  <c r="X37" i="1"/>
  <c r="AF40" i="1"/>
  <c r="BG44" i="1"/>
  <c r="AG47" i="1"/>
  <c r="V50" i="1"/>
  <c r="CR52" i="1"/>
  <c r="BF55" i="1"/>
  <c r="AE32" i="1"/>
  <c r="CV29" i="1"/>
  <c r="AL32" i="1"/>
  <c r="G36" i="1"/>
  <c r="BP39" i="1"/>
  <c r="D35" i="1"/>
  <c r="Q41" i="1"/>
  <c r="AS44" i="1"/>
  <c r="BA47" i="1"/>
  <c r="J50" i="1"/>
  <c r="Y53" i="1"/>
  <c r="CT55" i="1"/>
  <c r="AA36" i="1"/>
  <c r="CU40" i="1"/>
  <c r="CU44" i="1"/>
  <c r="BO49" i="1"/>
  <c r="CX52" i="1"/>
  <c r="AT35" i="1"/>
  <c r="BA40" i="1"/>
  <c r="CX43" i="1"/>
  <c r="G47" i="1"/>
  <c r="BH49" i="1"/>
  <c r="BG52" i="1"/>
  <c r="AG55" i="1"/>
  <c r="BM35" i="1"/>
  <c r="BJ40" i="1"/>
  <c r="CV44" i="1"/>
  <c r="AC49" i="1"/>
  <c r="BJ29" i="1"/>
  <c r="BO33" i="1"/>
  <c r="BK58" i="1"/>
  <c r="AR57" i="1"/>
  <c r="AT57" i="1"/>
  <c r="AE57" i="1"/>
  <c r="CK41" i="1"/>
  <c r="CJ54" i="1"/>
  <c r="CH48" i="1"/>
  <c r="CG51" i="1"/>
  <c r="CF41" i="1"/>
  <c r="CE37" i="1"/>
  <c r="CD37" i="1"/>
  <c r="CB49" i="1"/>
  <c r="CA47" i="1"/>
  <c r="BZ34" i="1"/>
  <c r="BY43" i="1"/>
  <c r="AT32" i="1"/>
  <c r="AU30" i="1"/>
  <c r="CW34" i="1"/>
  <c r="AC38" i="1"/>
  <c r="AP32" i="1"/>
  <c r="AS33" i="1"/>
  <c r="I40" i="1"/>
  <c r="BF44" i="1"/>
  <c r="BT50" i="1"/>
  <c r="AY29" i="1"/>
  <c r="AW38" i="1"/>
  <c r="AB31" i="1"/>
  <c r="BB37" i="1"/>
  <c r="AX34" i="1"/>
  <c r="D40" i="1"/>
  <c r="CW43" i="1"/>
  <c r="BU47" i="1"/>
  <c r="BL51" i="1"/>
  <c r="BX55" i="1"/>
  <c r="AP57" i="1"/>
  <c r="CB58" i="1"/>
  <c r="CE58" i="1"/>
  <c r="G57" i="1"/>
  <c r="CK33" i="1"/>
  <c r="CJ53" i="1"/>
  <c r="CH29" i="1"/>
  <c r="CG46" i="1"/>
  <c r="CF54" i="1"/>
  <c r="CE50" i="1"/>
  <c r="CC46" i="1"/>
  <c r="CB35" i="1"/>
  <c r="CA51" i="1"/>
  <c r="BZ32" i="1"/>
  <c r="BY38" i="1"/>
  <c r="BV32" i="1"/>
  <c r="BI30" i="1"/>
  <c r="U29" i="1"/>
  <c r="N29" i="1"/>
  <c r="CU33" i="1"/>
  <c r="X34" i="1"/>
  <c r="AK40" i="1"/>
  <c r="AD46" i="1"/>
  <c r="AD52" i="1"/>
  <c r="BP29" i="1"/>
  <c r="AV39" i="1"/>
  <c r="AQ31" i="1"/>
  <c r="CX37" i="1"/>
  <c r="BG34" i="1"/>
  <c r="S40" i="1"/>
  <c r="AU44" i="1"/>
  <c r="CU47" i="1"/>
  <c r="E52" i="1"/>
  <c r="CX55" i="1"/>
  <c r="BX37" i="1"/>
  <c r="BA43" i="1"/>
  <c r="CT29" i="1"/>
  <c r="AI35" i="1"/>
  <c r="AS39" i="1"/>
  <c r="K42" i="1"/>
  <c r="X45" i="1"/>
  <c r="AQ33" i="1"/>
  <c r="BJ37" i="1"/>
  <c r="BW41" i="1"/>
  <c r="Q45" i="1"/>
  <c r="BK47" i="1"/>
  <c r="BA50" i="1"/>
  <c r="AA53" i="1"/>
  <c r="M29" i="1"/>
  <c r="AY32" i="1"/>
  <c r="T29" i="1"/>
  <c r="CP32" i="1"/>
  <c r="AP36" i="1"/>
  <c r="AM40" i="1"/>
  <c r="BK35" i="1"/>
  <c r="CS41" i="1"/>
  <c r="AO45" i="1"/>
  <c r="D48" i="1"/>
  <c r="AH50" i="1"/>
  <c r="AV53" i="1"/>
  <c r="CU30" i="1"/>
  <c r="AZ37" i="1"/>
  <c r="AR41" i="1"/>
  <c r="BF45" i="1"/>
  <c r="CX49" i="1"/>
  <c r="R53" i="1"/>
  <c r="AL36" i="1"/>
  <c r="BA41" i="1"/>
  <c r="BK44" i="1"/>
  <c r="AT47" i="1"/>
  <c r="S50" i="1"/>
  <c r="Z53" i="1"/>
  <c r="BT55" i="1"/>
  <c r="BG36" i="1"/>
  <c r="AB41" i="1"/>
  <c r="N46" i="1"/>
  <c r="AL29" i="1"/>
  <c r="V30" i="1"/>
  <c r="AI34" i="1"/>
  <c r="BN38" i="1"/>
  <c r="AW42" i="1"/>
  <c r="BH46" i="1"/>
  <c r="CX48" i="1"/>
  <c r="AO35" i="1"/>
  <c r="T45" i="1"/>
  <c r="AE58" i="1"/>
  <c r="AC58" i="1"/>
  <c r="BH57" i="1"/>
  <c r="BT57" i="1"/>
  <c r="CK32" i="1"/>
  <c r="CJ38" i="1"/>
  <c r="CH54" i="1"/>
  <c r="CG32" i="1"/>
  <c r="CF40" i="1"/>
  <c r="CC48" i="1"/>
  <c r="CB40" i="1"/>
  <c r="CA36" i="1"/>
  <c r="BZ43" i="1"/>
  <c r="BY50" i="1"/>
  <c r="K34" i="1"/>
  <c r="BW30" i="1"/>
  <c r="AR29" i="1"/>
  <c r="AK29" i="1"/>
  <c r="H35" i="1"/>
  <c r="AO34" i="1"/>
  <c r="AR40" i="1"/>
  <c r="AK46" i="1"/>
  <c r="AK52" i="1"/>
  <c r="W30" i="1"/>
  <c r="BC39" i="1"/>
  <c r="J32" i="1"/>
  <c r="CU38" i="1"/>
  <c r="CS34" i="1"/>
  <c r="AH40" i="1"/>
  <c r="F57" i="1"/>
  <c r="CA57" i="1"/>
  <c r="CV57" i="1"/>
  <c r="U57" i="1"/>
  <c r="CK40" i="1"/>
  <c r="CJ51" i="1"/>
  <c r="CH39" i="1"/>
  <c r="CG31" i="1"/>
  <c r="CF52" i="1"/>
  <c r="CD35" i="1"/>
  <c r="CC34" i="1"/>
  <c r="CB33" i="1"/>
  <c r="CA55" i="1"/>
  <c r="BZ38" i="1"/>
  <c r="R34" i="1"/>
  <c r="CW30" i="1"/>
  <c r="CW29" i="1"/>
  <c r="AZ29" i="1"/>
  <c r="AJ35" i="1"/>
  <c r="AW34" i="1"/>
  <c r="AY40" i="1"/>
  <c r="BT46" i="1"/>
  <c r="AY52" i="1"/>
  <c r="BM31" i="1"/>
  <c r="BJ39" i="1"/>
  <c r="Y33" i="1"/>
  <c r="BS40" i="1"/>
  <c r="BH35" i="1"/>
  <c r="AH41" i="1"/>
  <c r="AF45" i="1"/>
  <c r="AS48" i="1"/>
  <c r="AI53" i="1"/>
  <c r="AB30" i="1"/>
  <c r="N38" i="1"/>
  <c r="BN44" i="1"/>
  <c r="N31" i="1"/>
  <c r="BQ35" i="1"/>
  <c r="AN40" i="1"/>
  <c r="AX42" i="1"/>
  <c r="I30" i="1"/>
  <c r="BQ33" i="1"/>
  <c r="F38" i="1"/>
  <c r="AI42" i="1"/>
  <c r="BC45" i="1"/>
  <c r="U48" i="1"/>
  <c r="CP50" i="1"/>
  <c r="BM53" i="1"/>
  <c r="AF29" i="1"/>
  <c r="R33" i="1"/>
  <c r="AV29" i="1"/>
  <c r="AX33" i="1"/>
  <c r="AD37" i="1"/>
  <c r="BD29" i="1"/>
  <c r="CP36" i="1"/>
  <c r="BP42" i="1"/>
  <c r="BM45" i="1"/>
  <c r="AB48" i="1"/>
  <c r="BO50" i="1"/>
  <c r="BT53" i="1"/>
  <c r="BR31" i="1"/>
  <c r="AE38" i="1"/>
  <c r="Y42" i="1"/>
  <c r="BR46" i="1"/>
  <c r="AQ50" i="1"/>
  <c r="N30" i="1"/>
  <c r="BP36" i="1"/>
  <c r="H42" i="1"/>
  <c r="AH45" i="1"/>
  <c r="CR47" i="1"/>
  <c r="BH50" i="1"/>
  <c r="BU53" i="1"/>
  <c r="CS56" i="1"/>
  <c r="AJ37" i="1"/>
  <c r="BK41" i="1"/>
  <c r="CU46" i="1"/>
  <c r="BJ30" i="1"/>
  <c r="CS30" i="1"/>
  <c r="W35" i="1"/>
  <c r="BS39" i="1"/>
  <c r="BN57" i="1"/>
  <c r="CI57" i="1"/>
  <c r="BF58" i="1"/>
  <c r="AT58" i="1"/>
  <c r="CK51" i="1"/>
  <c r="CI56" i="1"/>
  <c r="CH44" i="1"/>
  <c r="CG30" i="1"/>
  <c r="CE49" i="1"/>
  <c r="CD42" i="1"/>
  <c r="CC32" i="1"/>
  <c r="CB31" i="1"/>
  <c r="CA44" i="1"/>
  <c r="BY49" i="1"/>
  <c r="D30" i="1"/>
  <c r="AF34" i="1"/>
  <c r="AG32" i="1"/>
  <c r="I33" i="1"/>
  <c r="J30" i="1"/>
  <c r="BL35" i="1"/>
  <c r="BM34" i="1"/>
  <c r="I42" i="1"/>
  <c r="I48" i="1"/>
  <c r="BM52" i="1"/>
  <c r="U34" i="1"/>
  <c r="R40" i="1"/>
  <c r="BE33" i="1"/>
  <c r="J42" i="1"/>
  <c r="AC36" i="1"/>
  <c r="BX41" i="1"/>
  <c r="BA45" i="1"/>
  <c r="AY49" i="1"/>
  <c r="BD53" i="1"/>
  <c r="BT31" i="1"/>
  <c r="AG38" i="1"/>
  <c r="AE45" i="1"/>
  <c r="U32" i="1"/>
  <c r="AH36" i="1"/>
  <c r="BN40" i="1"/>
  <c r="P43" i="1"/>
  <c r="AV30" i="1"/>
  <c r="T34" i="1"/>
  <c r="AQ38" i="1"/>
  <c r="CW42" i="1"/>
  <c r="E46" i="1"/>
  <c r="BP48" i="1"/>
  <c r="S51" i="1"/>
  <c r="O54" i="1"/>
  <c r="CH57" i="1"/>
  <c r="CS57" i="1"/>
  <c r="AF58" i="1"/>
  <c r="BS57" i="1"/>
  <c r="CJ49" i="1"/>
  <c r="CI40" i="1"/>
  <c r="CH30" i="1"/>
  <c r="CG50" i="1"/>
  <c r="CE34" i="1"/>
  <c r="CD53" i="1"/>
  <c r="CC31" i="1"/>
  <c r="CB30" i="1"/>
  <c r="CA30" i="1"/>
  <c r="BY35" i="1"/>
  <c r="K30" i="1"/>
  <c r="AT34" i="1"/>
  <c r="AU32" i="1"/>
  <c r="AD33" i="1"/>
  <c r="AI30" i="1"/>
  <c r="M36" i="1"/>
  <c r="BU34" i="1"/>
  <c r="W42" i="1"/>
  <c r="P48" i="1"/>
  <c r="BT52" i="1"/>
  <c r="AD34" i="1"/>
  <c r="AG40" i="1"/>
  <c r="BV33" i="1"/>
  <c r="K29" i="1"/>
  <c r="BB36" i="1"/>
  <c r="R42" i="1"/>
  <c r="BH45" i="1"/>
  <c r="BF49" i="1"/>
  <c r="BK53" i="1"/>
  <c r="AW32" i="1"/>
  <c r="BO38" i="1"/>
  <c r="BB45" i="1"/>
  <c r="AD32" i="1"/>
  <c r="P37" i="1"/>
  <c r="BV40" i="1"/>
  <c r="AE43" i="1"/>
  <c r="BE30" i="1"/>
  <c r="BA35" i="1"/>
  <c r="AZ38" i="1"/>
  <c r="I43" i="1"/>
  <c r="M46" i="1"/>
  <c r="BX48" i="1"/>
  <c r="AH51" i="1"/>
  <c r="AE54" i="1"/>
  <c r="T30" i="1"/>
  <c r="J34" i="1"/>
  <c r="Q30" i="1"/>
  <c r="R35" i="1"/>
  <c r="AO38" i="1"/>
  <c r="S31" i="1"/>
  <c r="CS37" i="1"/>
  <c r="V43" i="1"/>
  <c r="AL46" i="1"/>
  <c r="CP48" i="1"/>
  <c r="AP51" i="1"/>
  <c r="AV54" i="1"/>
  <c r="K33" i="1"/>
  <c r="CS38" i="1"/>
  <c r="BH42" i="1"/>
  <c r="BI47" i="1"/>
  <c r="AY51" i="1"/>
  <c r="AO31" i="1"/>
  <c r="AR37" i="1"/>
  <c r="O43" i="1"/>
  <c r="BN45" i="1"/>
  <c r="BA48" i="1"/>
  <c r="L51" i="1"/>
  <c r="Y54" i="1"/>
  <c r="W32" i="1"/>
  <c r="BI38" i="1"/>
  <c r="BA42" i="1"/>
  <c r="AM47" i="1"/>
  <c r="L31" i="1"/>
  <c r="AA31" i="1"/>
  <c r="BW36" i="1"/>
  <c r="BG40" i="1"/>
  <c r="CG44" i="1"/>
  <c r="CC40" i="1"/>
  <c r="BY33" i="1"/>
  <c r="L30" i="1"/>
  <c r="BO31" i="1"/>
  <c r="CT42" i="1"/>
  <c r="CR34" i="1"/>
  <c r="CX41" i="1"/>
  <c r="AU43" i="1"/>
  <c r="AW53" i="1"/>
  <c r="BW38" i="1"/>
  <c r="BQ32" i="1"/>
  <c r="J41" i="1"/>
  <c r="BN30" i="1"/>
  <c r="BH38" i="1"/>
  <c r="AB46" i="1"/>
  <c r="AW51" i="1"/>
  <c r="CU29" i="1"/>
  <c r="AM29" i="1"/>
  <c r="CP35" i="1"/>
  <c r="AW31" i="1"/>
  <c r="N43" i="1"/>
  <c r="L48" i="1"/>
  <c r="BV52" i="1"/>
  <c r="AC33" i="1"/>
  <c r="AZ42" i="1"/>
  <c r="AA50" i="1"/>
  <c r="P35" i="1"/>
  <c r="AO43" i="1"/>
  <c r="M48" i="1"/>
  <c r="AH53" i="1"/>
  <c r="Q34" i="1"/>
  <c r="G43" i="1"/>
  <c r="CX30" i="1"/>
  <c r="AR34" i="1"/>
  <c r="X41" i="1"/>
  <c r="BT45" i="1"/>
  <c r="BV48" i="1"/>
  <c r="T37" i="1"/>
  <c r="BC47" i="1"/>
  <c r="BD51" i="1"/>
  <c r="AC55" i="1"/>
  <c r="AV38" i="1"/>
  <c r="H44" i="1"/>
  <c r="BV47" i="1"/>
  <c r="V52" i="1"/>
  <c r="BC33" i="1"/>
  <c r="BU29" i="1"/>
  <c r="BX52" i="1"/>
  <c r="W39" i="1"/>
  <c r="AB45" i="1"/>
  <c r="AN50" i="1"/>
  <c r="BD35" i="1"/>
  <c r="BJ45" i="1"/>
  <c r="BR51" i="1"/>
  <c r="BP55" i="1"/>
  <c r="BL42" i="1"/>
  <c r="M54" i="1"/>
  <c r="Q40" i="1"/>
  <c r="O48" i="1"/>
  <c r="AZ52" i="1"/>
  <c r="W56" i="1"/>
  <c r="Y44" i="1"/>
  <c r="CW55" i="1"/>
  <c r="BC30" i="1"/>
  <c r="H41" i="1"/>
  <c r="BC50" i="1"/>
  <c r="BQ54" i="1"/>
  <c r="D33" i="1"/>
  <c r="AX39" i="1"/>
  <c r="AU48" i="1"/>
  <c r="BJ52" i="1"/>
  <c r="Q29" i="1"/>
  <c r="AR45" i="1"/>
  <c r="G50" i="1"/>
  <c r="BC56" i="1"/>
  <c r="U40" i="1"/>
  <c r="AM48" i="1"/>
  <c r="AH34" i="1"/>
  <c r="AY57" i="1"/>
  <c r="CJ35" i="1"/>
  <c r="CF30" i="1"/>
  <c r="CC36" i="1"/>
  <c r="BY42" i="1"/>
  <c r="S34" i="1"/>
  <c r="AQ35" i="1"/>
  <c r="AR44" i="1"/>
  <c r="BQ36" i="1"/>
  <c r="AI29" i="1"/>
  <c r="AT45" i="1"/>
  <c r="CR53" i="1"/>
  <c r="BE42" i="1"/>
  <c r="I34" i="1"/>
  <c r="AQ41" i="1"/>
  <c r="AN31" i="1"/>
  <c r="CT39" i="1"/>
  <c r="BW46" i="1"/>
  <c r="AT52" i="1"/>
  <c r="G31" i="1"/>
  <c r="BX29" i="1"/>
  <c r="O37" i="1"/>
  <c r="AA34" i="1"/>
  <c r="BD43" i="1"/>
  <c r="AZ48" i="1"/>
  <c r="BL53" i="1"/>
  <c r="BU35" i="1"/>
  <c r="F43" i="1"/>
  <c r="AI51" i="1"/>
  <c r="AV36" i="1"/>
  <c r="BU43" i="1"/>
  <c r="BQ48" i="1"/>
  <c r="Q54" i="1"/>
  <c r="J37" i="1"/>
  <c r="BC44" i="1"/>
  <c r="AZ31" i="1"/>
  <c r="BC36" i="1"/>
  <c r="AX41" i="1"/>
  <c r="Z46" i="1"/>
  <c r="R49" i="1"/>
  <c r="BG37" i="1"/>
  <c r="N48" i="1"/>
  <c r="M52" i="1"/>
  <c r="N56" i="1"/>
  <c r="T40" i="1"/>
  <c r="AM44" i="1"/>
  <c r="BR48" i="1"/>
  <c r="BE53" i="1"/>
  <c r="BS38" i="1"/>
  <c r="I31" i="1"/>
  <c r="I36" i="1"/>
  <c r="BU40" i="1"/>
  <c r="BE45" i="1"/>
  <c r="BN50" i="1"/>
  <c r="G37" i="1"/>
  <c r="AS46" i="1"/>
  <c r="L52" i="1"/>
  <c r="O56" i="1"/>
  <c r="AX43" i="1"/>
  <c r="O52" i="1"/>
  <c r="AC41" i="1"/>
  <c r="BC48" i="1"/>
  <c r="CU52" i="1"/>
  <c r="BA56" i="1"/>
  <c r="M47" i="1"/>
  <c r="AF56" i="1"/>
  <c r="BM32" i="1"/>
  <c r="U45" i="1"/>
  <c r="Y51" i="1"/>
  <c r="AJ55" i="1"/>
  <c r="BK33" i="1"/>
  <c r="BX40" i="1"/>
  <c r="H49" i="1"/>
  <c r="AU53" i="1"/>
  <c r="AB33" i="1"/>
  <c r="S46" i="1"/>
  <c r="BC51" i="1"/>
  <c r="BG31" i="1"/>
  <c r="BO40" i="1"/>
  <c r="AB50" i="1"/>
  <c r="AN35" i="1"/>
  <c r="E57" i="1"/>
  <c r="CJ47" i="1"/>
  <c r="CF43" i="1"/>
  <c r="CB46" i="1"/>
  <c r="BY40" i="1"/>
  <c r="Z34" i="1"/>
  <c r="AD29" i="1"/>
  <c r="CT46" i="1"/>
  <c r="CW37" i="1"/>
  <c r="X30" i="1"/>
  <c r="BO45" i="1"/>
  <c r="S54" i="1"/>
  <c r="CV42" i="1"/>
  <c r="K35" i="1"/>
  <c r="BG41" i="1"/>
  <c r="CX31" i="1"/>
  <c r="X40" i="1"/>
  <c r="R47" i="1"/>
  <c r="BQ52" i="1"/>
  <c r="BE31" i="1"/>
  <c r="AJ30" i="1"/>
  <c r="AS37" i="1"/>
  <c r="BB35" i="1"/>
  <c r="BT43" i="1"/>
  <c r="D49" i="1"/>
  <c r="X54" i="1"/>
  <c r="AI37" i="1"/>
  <c r="AB44" i="1"/>
  <c r="BN51" i="1"/>
  <c r="R37" i="1"/>
  <c r="AT44" i="1"/>
  <c r="M49" i="1"/>
  <c r="AG54" i="1"/>
  <c r="U38" i="1"/>
  <c r="BG45" i="1"/>
  <c r="F34" i="1"/>
  <c r="F37" i="1"/>
  <c r="CP41" i="1"/>
  <c r="BP46" i="1"/>
  <c r="I29" i="1"/>
  <c r="AG39" i="1"/>
  <c r="X48" i="1"/>
  <c r="AM52" i="1"/>
  <c r="U56" i="1"/>
  <c r="P41" i="1"/>
  <c r="BR44" i="1"/>
  <c r="AE49" i="1"/>
  <c r="BV53" i="1"/>
  <c r="O39" i="1"/>
  <c r="AG31" i="1"/>
  <c r="AE36" i="1"/>
  <c r="O41" i="1"/>
  <c r="CR45" i="1"/>
  <c r="E51" i="1"/>
  <c r="BK37" i="1"/>
  <c r="CV46" i="1"/>
  <c r="AE52" i="1"/>
  <c r="AD56" i="1"/>
  <c r="CX44" i="1"/>
  <c r="BS54" i="1"/>
  <c r="AM41" i="1"/>
  <c r="BL48" i="1"/>
  <c r="AT53" i="1"/>
  <c r="BP56" i="1"/>
  <c r="BD47" i="1"/>
  <c r="AU56" i="1"/>
  <c r="BW33" i="1"/>
  <c r="AZ45" i="1"/>
  <c r="AR51" i="1"/>
  <c r="BA55" i="1"/>
  <c r="AZ34" i="1"/>
  <c r="AD41" i="1"/>
  <c r="AL49" i="1"/>
  <c r="V54" i="1"/>
  <c r="BD37" i="1"/>
  <c r="AN46" i="1"/>
  <c r="Y52" i="1"/>
  <c r="F32" i="1"/>
  <c r="V41" i="1"/>
  <c r="R51" i="1"/>
  <c r="Y37" i="1"/>
  <c r="BF47" i="1"/>
  <c r="AS40" i="1"/>
  <c r="S48" i="1"/>
  <c r="BX53" i="1"/>
  <c r="AV57" i="1"/>
  <c r="CJ34" i="1"/>
  <c r="CF36" i="1"/>
  <c r="CB41" i="1"/>
  <c r="AU34" i="1"/>
  <c r="BH29" i="1"/>
  <c r="W48" i="1"/>
  <c r="BQ39" i="1"/>
  <c r="T32" i="1"/>
  <c r="BV45" i="1"/>
  <c r="AV55" i="1"/>
  <c r="AL43" i="1"/>
  <c r="AA35" i="1"/>
  <c r="CW41" i="1"/>
  <c r="Z33" i="1"/>
  <c r="CX40" i="1"/>
  <c r="AV47" i="1"/>
  <c r="L53" i="1"/>
  <c r="V32" i="1"/>
  <c r="AL31" i="1"/>
  <c r="BH37" i="1"/>
  <c r="BO36" i="1"/>
  <c r="AJ44" i="1"/>
  <c r="L49" i="1"/>
  <c r="AF54" i="1"/>
  <c r="T38" i="1"/>
  <c r="BS44" i="1"/>
  <c r="BV51" i="1"/>
  <c r="AA37" i="1"/>
  <c r="Z45" i="1"/>
  <c r="AZ49" i="1"/>
  <c r="BE54" i="1"/>
  <c r="AF38" i="1"/>
  <c r="BS46" i="1"/>
  <c r="AB29" i="1"/>
  <c r="AX37" i="1"/>
  <c r="N42" i="1"/>
  <c r="CP46" i="1"/>
  <c r="BC29" i="1"/>
  <c r="AQ39" i="1"/>
  <c r="CV48" i="1"/>
  <c r="AV52" i="1"/>
  <c r="AB56" i="1"/>
  <c r="AT41" i="1"/>
  <c r="AC45" i="1"/>
  <c r="BE49" i="1"/>
  <c r="K54" i="1"/>
  <c r="Y39" i="1"/>
  <c r="BQ31" i="1"/>
  <c r="K37" i="1"/>
  <c r="BD41" i="1"/>
  <c r="G46" i="1"/>
  <c r="AM51" i="1"/>
  <c r="BT37" i="1"/>
  <c r="U47" i="1"/>
  <c r="I53" i="1"/>
  <c r="AS56" i="1"/>
  <c r="BL45" i="1"/>
  <c r="BF53" i="1"/>
  <c r="BU41" i="1"/>
  <c r="G49" i="1"/>
  <c r="CW53" i="1"/>
  <c r="D29" i="1"/>
  <c r="Q48" i="1"/>
  <c r="BJ56" i="1"/>
  <c r="BK34" i="1"/>
  <c r="BK45" i="1"/>
  <c r="CV51" i="1"/>
  <c r="CV55" i="1"/>
  <c r="BX34" i="1"/>
  <c r="BL41" i="1"/>
  <c r="BX49" i="1"/>
  <c r="AP54" i="1"/>
  <c r="AN39" i="1"/>
  <c r="AW46" i="1"/>
  <c r="BK52" i="1"/>
  <c r="P32" i="1"/>
  <c r="CU41" i="1"/>
  <c r="AK51" i="1"/>
  <c r="M38" i="1"/>
  <c r="S49" i="1"/>
  <c r="L42" i="1"/>
  <c r="AW48" i="1"/>
  <c r="AQ58" i="1"/>
  <c r="CJ50" i="1"/>
  <c r="CE43" i="1"/>
  <c r="CB52" i="1"/>
  <c r="BI34" i="1"/>
  <c r="CX29" i="1"/>
  <c r="AK48" i="1"/>
  <c r="AV40" i="1"/>
  <c r="BW35" i="1"/>
  <c r="BX46" i="1"/>
  <c r="H30" i="1"/>
  <c r="K44" i="1"/>
  <c r="BI35" i="1"/>
  <c r="AP42" i="1"/>
  <c r="BI33" i="1"/>
  <c r="AA42" i="1"/>
  <c r="CS47" i="1"/>
  <c r="AX53" i="1"/>
  <c r="AO32" i="1"/>
  <c r="BK31" i="1"/>
  <c r="K39" i="1"/>
  <c r="Q37" i="1"/>
  <c r="AG45" i="1"/>
  <c r="AQ49" i="1"/>
  <c r="BD54" i="1"/>
  <c r="AN38" i="1"/>
  <c r="H45" i="1"/>
  <c r="R52" i="1"/>
  <c r="BR37" i="1"/>
  <c r="AP45" i="1"/>
  <c r="K50" i="1"/>
  <c r="BV54" i="1"/>
  <c r="BR38" i="1"/>
  <c r="O47" i="1"/>
  <c r="BT29" i="1"/>
  <c r="Q38" i="1"/>
  <c r="BW42" i="1"/>
  <c r="L47" i="1"/>
  <c r="BM29" i="1"/>
  <c r="BW39" i="1"/>
  <c r="AM49" i="1"/>
  <c r="BE52" i="1"/>
  <c r="AI56" i="1"/>
  <c r="BE41" i="1"/>
  <c r="AL45" i="1"/>
  <c r="BN49" i="1"/>
  <c r="T54" i="1"/>
  <c r="BN39" i="1"/>
  <c r="X32" i="1"/>
  <c r="U37" i="1"/>
  <c r="BM41" i="1"/>
  <c r="BD46" i="1"/>
  <c r="AU51" i="1"/>
  <c r="AS38" i="1"/>
  <c r="AF47" i="1"/>
  <c r="AK53" i="1"/>
  <c r="BH56" i="1"/>
  <c r="BG46" i="1"/>
  <c r="BD55" i="1"/>
  <c r="AN42" i="1"/>
  <c r="Q49" i="1"/>
  <c r="U54" i="1"/>
  <c r="O32" i="1"/>
  <c r="CP49" i="1"/>
  <c r="U42" i="1"/>
  <c r="X35" i="1"/>
  <c r="F46" i="1"/>
  <c r="AF52" i="1"/>
  <c r="P56" i="1"/>
  <c r="M35" i="1"/>
  <c r="AO42" i="1"/>
  <c r="Z50" i="1"/>
  <c r="CU54" i="1"/>
  <c r="AY39" i="1"/>
  <c r="D47" i="1"/>
  <c r="BN53" i="1"/>
  <c r="AQ32" i="1"/>
  <c r="AF42" i="1"/>
  <c r="AT51" i="1"/>
  <c r="BJ38" i="1"/>
  <c r="K41" i="1"/>
  <c r="V42" i="1"/>
  <c r="AX49" i="1"/>
  <c r="F58" i="1"/>
  <c r="CI42" i="1"/>
  <c r="CE56" i="1"/>
  <c r="CA49" i="1"/>
  <c r="R30" i="1"/>
  <c r="CV31" i="1"/>
  <c r="CW31" i="1"/>
  <c r="BT48" i="1"/>
  <c r="BK40" i="1"/>
  <c r="AA38" i="1"/>
  <c r="BG47" i="1"/>
  <c r="BU30" i="1"/>
  <c r="P45" i="1"/>
  <c r="Y36" i="1"/>
  <c r="BN42" i="1"/>
  <c r="CS33" i="1"/>
  <c r="BV42" i="1"/>
  <c r="AC48" i="1"/>
  <c r="CU53" i="1"/>
  <c r="BR32" i="1"/>
  <c r="AC32" i="1"/>
  <c r="S39" i="1"/>
  <c r="AQ37" i="1"/>
  <c r="AW45" i="1"/>
  <c r="CW49" i="1"/>
  <c r="BU54" i="1"/>
  <c r="BQ38" i="1"/>
  <c r="AC46" i="1"/>
  <c r="BN52" i="1"/>
  <c r="CT37" i="1"/>
  <c r="AX45" i="1"/>
  <c r="AI50" i="1"/>
  <c r="Y55" i="1"/>
  <c r="CV38" i="1"/>
  <c r="W47" i="1"/>
  <c r="AS30" i="1"/>
  <c r="AL38" i="1"/>
  <c r="AC43" i="1"/>
  <c r="T47" i="1"/>
  <c r="AR31" i="1"/>
  <c r="Y41" i="1"/>
  <c r="AV49" i="1"/>
  <c r="E53" i="1"/>
  <c r="AP56" i="1"/>
  <c r="BN41" i="1"/>
  <c r="AV45" i="1"/>
  <c r="D50" i="1"/>
  <c r="BC54" i="1"/>
  <c r="J40" i="1"/>
  <c r="AK32" i="1"/>
  <c r="AO37" i="1"/>
  <c r="AT42" i="1"/>
  <c r="BN46" i="1"/>
  <c r="BU51" i="1"/>
  <c r="BC38" i="1"/>
  <c r="AP47" i="1"/>
  <c r="BB53" i="1"/>
  <c r="BW56" i="1"/>
  <c r="AA48" i="1"/>
  <c r="R56" i="1"/>
  <c r="BJ42" i="1"/>
  <c r="BC49" i="1"/>
  <c r="AO54" i="1"/>
  <c r="AP34" i="1"/>
  <c r="Q50" i="1"/>
  <c r="H48" i="1"/>
  <c r="AU35" i="1"/>
  <c r="Q46" i="1"/>
  <c r="BR52" i="1"/>
  <c r="AE56" i="1"/>
  <c r="BF35" i="1"/>
  <c r="BG43" i="1"/>
  <c r="AT50" i="1"/>
  <c r="R55" i="1"/>
  <c r="AE41" i="1"/>
  <c r="Y47" i="1"/>
  <c r="BW53" i="1"/>
  <c r="AQ34" i="1"/>
  <c r="BC42" i="1"/>
  <c r="BW51" i="1"/>
  <c r="BV38" i="1"/>
  <c r="M53" i="1"/>
  <c r="K43" i="1"/>
  <c r="BQ49" i="1"/>
  <c r="AD55" i="1"/>
  <c r="AG57" i="1"/>
  <c r="CI46" i="1"/>
  <c r="CE46" i="1"/>
  <c r="CA45" i="1"/>
  <c r="Y30" i="1"/>
  <c r="BT33" i="1"/>
  <c r="BE34" i="1"/>
  <c r="AK50" i="1"/>
  <c r="BB41" i="1"/>
  <c r="AI38" i="1"/>
  <c r="V48" i="1"/>
  <c r="CR32" i="1"/>
  <c r="L46" i="1"/>
  <c r="AE37" i="1"/>
  <c r="AT43" i="1"/>
  <c r="CU35" i="1"/>
  <c r="X43" i="1"/>
  <c r="K49" i="1"/>
  <c r="AM54" i="1"/>
  <c r="AI33" i="1"/>
  <c r="BE32" i="1"/>
  <c r="AR39" i="1"/>
  <c r="H39" i="1"/>
  <c r="CX45" i="1"/>
  <c r="R50" i="1"/>
  <c r="X55" i="1"/>
  <c r="Z39" i="1"/>
  <c r="N47" i="1"/>
  <c r="J53" i="1"/>
  <c r="R39" i="1"/>
  <c r="BW45" i="1"/>
  <c r="BP50" i="1"/>
  <c r="AW55" i="1"/>
  <c r="E40" i="1"/>
  <c r="BJ47" i="1"/>
  <c r="H31" i="1"/>
  <c r="AU38" i="1"/>
  <c r="AK43" i="1"/>
  <c r="AQ47" i="1"/>
  <c r="AV32" i="1"/>
  <c r="AB42" i="1"/>
  <c r="BV49" i="1"/>
  <c r="V53" i="1"/>
  <c r="AW56" i="1"/>
  <c r="CR41" i="1"/>
  <c r="BP45" i="1"/>
  <c r="M50" i="1"/>
  <c r="AL55" i="1"/>
  <c r="AP40" i="1"/>
  <c r="BU32" i="1"/>
  <c r="AH30" i="1"/>
  <c r="BD42" i="1"/>
  <c r="P47" i="1"/>
  <c r="U52" i="1"/>
  <c r="BF39" i="1"/>
  <c r="Y48" i="1"/>
  <c r="BJ53" i="1"/>
  <c r="F30" i="1"/>
  <c r="BD50" i="1"/>
  <c r="BA29" i="1"/>
  <c r="Q43" i="1"/>
  <c r="O50" i="1"/>
  <c r="AX54" i="1"/>
  <c r="CP34" i="1"/>
  <c r="Z51" i="1"/>
  <c r="BN37" i="1"/>
  <c r="BV36" i="1"/>
  <c r="BQ46" i="1"/>
  <c r="AN57" i="1"/>
  <c r="CI51" i="1"/>
  <c r="CA50" i="1"/>
  <c r="AT30" i="1"/>
  <c r="G34" i="1"/>
  <c r="F36" i="1"/>
  <c r="BF52" i="1"/>
  <c r="CR30" i="1"/>
  <c r="AP39" i="1"/>
  <c r="BW48" i="1"/>
  <c r="G33" i="1"/>
  <c r="AA46" i="1"/>
  <c r="AT37" i="1"/>
  <c r="BQ43" i="1"/>
  <c r="Q36" i="1"/>
  <c r="AM43" i="1"/>
  <c r="Z49" i="1"/>
  <c r="BJ54" i="1"/>
  <c r="BA33" i="1"/>
  <c r="O33" i="1"/>
  <c r="BH39" i="1"/>
  <c r="Q39" i="1"/>
  <c r="T46" i="1"/>
  <c r="AX50" i="1"/>
  <c r="BM57" i="1"/>
  <c r="CH38" i="1"/>
  <c r="CD55" i="1"/>
  <c r="BZ54" i="1"/>
  <c r="CV34" i="1"/>
  <c r="BO29" i="1"/>
  <c r="BF38" i="1"/>
  <c r="R29" i="1"/>
  <c r="K36" i="1"/>
  <c r="AG42" i="1"/>
  <c r="BV50" i="1"/>
  <c r="BA37" i="1"/>
  <c r="BF29" i="1"/>
  <c r="AK39" i="1"/>
  <c r="CW44" i="1"/>
  <c r="AM37" i="1"/>
  <c r="BO44" i="1"/>
  <c r="AL50" i="1"/>
  <c r="BU55" i="1"/>
  <c r="AB35" i="1"/>
  <c r="Z35" i="1"/>
  <c r="M30" i="1"/>
  <c r="AZ41" i="1"/>
  <c r="F47" i="1"/>
  <c r="BF51" i="1"/>
  <c r="CT31" i="1"/>
  <c r="I41" i="1"/>
  <c r="CR48" i="1"/>
  <c r="BI31" i="1"/>
  <c r="Q42" i="1"/>
  <c r="AD47" i="1"/>
  <c r="K52" i="1"/>
  <c r="AI32" i="1"/>
  <c r="BS41" i="1"/>
  <c r="AS49" i="1"/>
  <c r="BL32" i="1"/>
  <c r="AX40" i="1"/>
  <c r="BQ44" i="1"/>
  <c r="AP48" i="1"/>
  <c r="I35" i="1"/>
  <c r="CS45" i="1"/>
  <c r="N51" i="1"/>
  <c r="AL54" i="1"/>
  <c r="CR56" i="1"/>
  <c r="BF43" i="1"/>
  <c r="H47" i="1"/>
  <c r="AN51" i="1"/>
  <c r="AS31" i="1"/>
  <c r="AC42" i="1"/>
  <c r="AO36" i="1"/>
  <c r="BO37" i="1"/>
  <c r="Z44" i="1"/>
  <c r="AF48" i="1"/>
  <c r="BX32" i="1"/>
  <c r="AG44" i="1"/>
  <c r="BB50" i="1"/>
  <c r="CR54" i="1"/>
  <c r="AD39" i="1"/>
  <c r="BS52" i="1"/>
  <c r="AW36" i="1"/>
  <c r="AD45" i="1"/>
  <c r="AG51" i="1"/>
  <c r="AR55" i="1"/>
  <c r="BB40" i="1"/>
  <c r="AZ54" i="1"/>
  <c r="D53" i="1"/>
  <c r="AT38" i="1"/>
  <c r="CD43" i="1"/>
  <c r="H29" i="1"/>
  <c r="AD54" i="1"/>
  <c r="F50" i="1"/>
  <c r="AH33" i="1"/>
  <c r="Y38" i="1"/>
  <c r="W29" i="1"/>
  <c r="AU40" i="1"/>
  <c r="BW50" i="1"/>
  <c r="BR41" i="1"/>
  <c r="BC35" i="1"/>
  <c r="T51" i="1"/>
  <c r="AJ42" i="1"/>
  <c r="N36" i="1"/>
  <c r="BO47" i="1"/>
  <c r="R46" i="1"/>
  <c r="G56" i="1"/>
  <c r="BE46" i="1"/>
  <c r="N32" i="1"/>
  <c r="AG35" i="1"/>
  <c r="AI47" i="1"/>
  <c r="CS44" i="1"/>
  <c r="CS55" i="1"/>
  <c r="M33" i="1"/>
  <c r="BA51" i="1"/>
  <c r="V45" i="1"/>
  <c r="BL37" i="1"/>
  <c r="AC53" i="1"/>
  <c r="BR35" i="1"/>
  <c r="BW47" i="1"/>
  <c r="BB56" i="1"/>
  <c r="BO48" i="1"/>
  <c r="BN34" i="1"/>
  <c r="CT47" i="1"/>
  <c r="AZ43" i="1"/>
  <c r="BE37" i="1"/>
  <c r="AM50" i="1"/>
  <c r="AO56" i="1"/>
  <c r="CX42" i="1"/>
  <c r="CU49" i="1"/>
  <c r="AA54" i="1"/>
  <c r="M56" i="1"/>
  <c r="AJ34" i="1"/>
  <c r="G45" i="1"/>
  <c r="BJ50" i="1"/>
  <c r="BL30" i="1"/>
  <c r="AJ43" i="1"/>
  <c r="BB49" i="1"/>
  <c r="AC54" i="1"/>
  <c r="BW31" i="1"/>
  <c r="Z54" i="1"/>
  <c r="BG56" i="1"/>
  <c r="BV46" i="1"/>
  <c r="AX56" i="1"/>
  <c r="BM56" i="1"/>
  <c r="BG53" i="1"/>
  <c r="J39" i="1"/>
  <c r="CW45" i="1"/>
  <c r="BQ56" i="1"/>
  <c r="CT34" i="1"/>
  <c r="AN44" i="1"/>
  <c r="AM38" i="1"/>
  <c r="BQ50" i="1"/>
  <c r="BL56" i="1"/>
  <c r="M43" i="1"/>
  <c r="BW54" i="1"/>
  <c r="AY56" i="1"/>
  <c r="BX35" i="1"/>
  <c r="AA45" i="1"/>
  <c r="BS50" i="1"/>
  <c r="CT30" i="1"/>
  <c r="CT43" i="1"/>
  <c r="BU49" i="1"/>
  <c r="AS34" i="1"/>
  <c r="AY55" i="1"/>
  <c r="E42" i="1"/>
  <c r="CW48" i="1"/>
  <c r="BD33" i="1"/>
  <c r="CV37" i="1"/>
  <c r="D56" i="1"/>
  <c r="AE48" i="1"/>
  <c r="V49" i="1"/>
  <c r="BU58" i="1"/>
  <c r="E32" i="1"/>
  <c r="AA32" i="1"/>
  <c r="CD48" i="1"/>
  <c r="AX29" i="1"/>
  <c r="AH29" i="1"/>
  <c r="U50" i="1"/>
  <c r="CP37" i="1"/>
  <c r="BP38" i="1"/>
  <c r="AO29" i="1"/>
  <c r="BQ30" i="1"/>
  <c r="K51" i="1"/>
  <c r="AQ42" i="1"/>
  <c r="BM39" i="1"/>
  <c r="BG51" i="1"/>
  <c r="BI42" i="1"/>
  <c r="BD38" i="1"/>
  <c r="R48" i="1"/>
  <c r="CR46" i="1"/>
  <c r="BD56" i="1"/>
  <c r="BO46" i="1"/>
  <c r="AF33" i="1"/>
  <c r="BT32" i="1"/>
  <c r="AR47" i="1"/>
  <c r="AY45" i="1"/>
  <c r="AL35" i="1"/>
  <c r="CW35" i="1"/>
  <c r="BJ51" i="1"/>
  <c r="CW52" i="1"/>
  <c r="BU37" i="1"/>
  <c r="AL53" i="1"/>
  <c r="O36" i="1"/>
  <c r="BD48" i="1"/>
  <c r="CU48" i="1"/>
  <c r="AN49" i="1"/>
  <c r="CW50" i="1"/>
  <c r="AN54" i="1"/>
  <c r="BB57" i="1"/>
  <c r="CC47" i="1"/>
  <c r="W34" i="1"/>
  <c r="U35" i="1"/>
  <c r="T52" i="1"/>
  <c r="BA39" i="1"/>
  <c r="AQ44" i="1"/>
  <c r="BS34" i="1"/>
  <c r="AM33" i="1"/>
  <c r="AO52" i="1"/>
  <c r="V47" i="1"/>
  <c r="CT41" i="1"/>
  <c r="BW52" i="1"/>
  <c r="BR47" i="1"/>
  <c r="CV39" i="1"/>
  <c r="BN48" i="1"/>
  <c r="AE50" i="1"/>
  <c r="BR56" i="1"/>
  <c r="AJ47" i="1"/>
  <c r="BW40" i="1"/>
  <c r="AW37" i="1"/>
  <c r="L50" i="1"/>
  <c r="AT49" i="1"/>
  <c r="BM37" i="1"/>
  <c r="AL39" i="1"/>
  <c r="CS54" i="1"/>
  <c r="AM53" i="1"/>
  <c r="BG39" i="1"/>
  <c r="L54" i="1"/>
  <c r="AF37" i="1"/>
  <c r="BB51" i="1"/>
  <c r="E33" i="1"/>
  <c r="BP49" i="1"/>
  <c r="AW35" i="1"/>
  <c r="BA54" i="1"/>
  <c r="O45" i="1"/>
  <c r="BU44" i="1"/>
  <c r="AB51" i="1"/>
  <c r="H32" i="1"/>
  <c r="AO44" i="1"/>
  <c r="AD51" i="1"/>
  <c r="AX55" i="1"/>
  <c r="Z31" i="1"/>
  <c r="V36" i="1"/>
  <c r="BA46" i="1"/>
  <c r="P53" i="1"/>
  <c r="CV35" i="1"/>
  <c r="CP57" i="1"/>
  <c r="CC43" i="1"/>
  <c r="BL34" i="1"/>
  <c r="AG33" i="1"/>
  <c r="BR53" i="1"/>
  <c r="BE40" i="1"/>
  <c r="AN45" i="1"/>
  <c r="L35" i="1"/>
  <c r="BL39" i="1"/>
  <c r="AG53" i="1"/>
  <c r="BQ47" i="1"/>
  <c r="BQ42" i="1"/>
  <c r="CV53" i="1"/>
  <c r="AT48" i="1"/>
  <c r="BP40" i="1"/>
  <c r="J49" i="1"/>
  <c r="BE50" i="1"/>
  <c r="CU37" i="1"/>
  <c r="AG48" i="1"/>
  <c r="AK41" i="1"/>
  <c r="AJ38" i="1"/>
  <c r="AV50" i="1"/>
  <c r="BL49" i="1"/>
  <c r="CR40" i="1"/>
  <c r="AB40" i="1"/>
  <c r="H55" i="1"/>
  <c r="AK55" i="1"/>
  <c r="X44" i="1"/>
  <c r="BH54" i="1"/>
  <c r="BC37" i="1"/>
  <c r="BK51" i="1"/>
  <c r="AP41" i="1"/>
  <c r="CR49" i="1"/>
  <c r="BT35" i="1"/>
  <c r="CW54" i="1"/>
  <c r="K46" i="1"/>
  <c r="AI45" i="1"/>
  <c r="AJ52" i="1"/>
  <c r="AE35" i="1"/>
  <c r="BL44" i="1"/>
  <c r="BP51" i="1"/>
  <c r="BN55" i="1"/>
  <c r="V33" i="1"/>
  <c r="AT36" i="1"/>
  <c r="S47" i="1"/>
  <c r="BQ53" i="1"/>
  <c r="W36" i="1"/>
  <c r="CP44" i="1"/>
  <c r="AN58" i="1"/>
  <c r="CA29" i="1"/>
  <c r="Y31" i="1"/>
  <c r="AK35" i="1"/>
  <c r="BH33" i="1"/>
  <c r="R41" i="1"/>
  <c r="BR45" i="1"/>
  <c r="AG29" i="1"/>
  <c r="AZ40" i="1"/>
  <c r="BS55" i="1"/>
  <c r="CP47" i="1"/>
  <c r="AF43" i="1"/>
  <c r="CU55" i="1"/>
  <c r="U49" i="1"/>
  <c r="CP40" i="1"/>
  <c r="BB33" i="1"/>
  <c r="CR50" i="1"/>
  <c r="L38" i="1"/>
  <c r="AO50" i="1"/>
  <c r="T42" i="1"/>
  <c r="CW38" i="1"/>
  <c r="AC52" i="1"/>
  <c r="AG50" i="1"/>
  <c r="AE42" i="1"/>
  <c r="M44" i="1"/>
  <c r="Q55" i="1"/>
  <c r="BK55" i="1"/>
  <c r="CW46" i="1"/>
  <c r="Z55" i="1"/>
  <c r="E39" i="1"/>
  <c r="N52" i="1"/>
  <c r="BX42" i="1"/>
  <c r="AU50" i="1"/>
  <c r="AH37" i="1"/>
  <c r="BL55" i="1"/>
  <c r="AF46" i="1"/>
  <c r="AS45" i="1"/>
  <c r="BL52" i="1"/>
  <c r="D37" i="1"/>
  <c r="BW44" i="1"/>
  <c r="CR51" i="1"/>
  <c r="E56" i="1"/>
  <c r="CA42" i="1"/>
  <c r="AF31" i="1"/>
  <c r="Z37" i="1"/>
  <c r="AZ36" i="1"/>
  <c r="D44" i="1"/>
  <c r="AJ46" i="1"/>
  <c r="U30" i="1"/>
  <c r="G42" i="1"/>
  <c r="CK39" i="1"/>
  <c r="BZ50" i="1"/>
  <c r="I32" i="1"/>
  <c r="AN37" i="1"/>
  <c r="E38" i="1"/>
  <c r="AI44" i="1"/>
  <c r="BD49" i="1"/>
  <c r="BN29" i="1"/>
  <c r="CP42" i="1"/>
  <c r="J31" i="1"/>
  <c r="BW49" i="1"/>
  <c r="U46" i="1"/>
  <c r="BS31" i="1"/>
  <c r="BS30" i="1"/>
  <c r="AH44" i="1"/>
  <c r="N34" i="1"/>
  <c r="AE51" i="1"/>
  <c r="AU42" i="1"/>
  <c r="CH40" i="1"/>
  <c r="BZ51" i="1"/>
  <c r="AJ36" i="1"/>
  <c r="S29" i="1"/>
  <c r="X38" i="1"/>
  <c r="AU45" i="1"/>
  <c r="N50" i="1"/>
  <c r="BX33" i="1"/>
  <c r="AV43" i="1"/>
  <c r="CU32" i="1"/>
  <c r="AA51" i="1"/>
  <c r="AU46" i="1"/>
  <c r="L33" i="1"/>
  <c r="AP31" i="1"/>
  <c r="AZ44" i="1"/>
  <c r="AF35" i="1"/>
  <c r="CG56" i="1"/>
  <c r="BF40" i="1"/>
  <c r="BD31" i="1"/>
  <c r="J35" i="1"/>
  <c r="AK34" i="1"/>
  <c r="BB47" i="1"/>
  <c r="AK31" i="1"/>
  <c r="AC37" i="1"/>
  <c r="CU42" i="1"/>
  <c r="BR55" i="1"/>
  <c r="G44" i="1"/>
  <c r="Y46" i="1"/>
  <c r="AD53" i="1"/>
  <c r="BI55" i="1"/>
  <c r="AI54" i="1"/>
  <c r="BI56" i="1"/>
  <c r="AH47" i="1"/>
  <c r="E44" i="1"/>
  <c r="CT56" i="1"/>
  <c r="Q35" i="1"/>
  <c r="F44" i="1"/>
  <c r="AM55" i="1"/>
  <c r="AG46" i="1"/>
  <c r="BH53" i="1"/>
  <c r="AB37" i="1"/>
  <c r="BR42" i="1"/>
  <c r="BH51" i="1"/>
  <c r="AL40" i="1"/>
  <c r="BU48" i="1"/>
  <c r="J54" i="1"/>
  <c r="BH40" i="1"/>
  <c r="BA44" i="1"/>
  <c r="CR55" i="1"/>
  <c r="BO54" i="1"/>
  <c r="AQ48" i="1"/>
  <c r="AC50" i="1"/>
  <c r="AF36" i="1"/>
  <c r="AR56" i="1"/>
  <c r="L45" i="1"/>
  <c r="BT42" i="1"/>
  <c r="L39" i="1"/>
  <c r="AH35" i="1"/>
  <c r="BU39" i="1"/>
  <c r="E48" i="1"/>
  <c r="BP31" i="1"/>
  <c r="AL42" i="1"/>
  <c r="J43" i="1"/>
  <c r="AY37" i="1"/>
  <c r="AV44" i="1"/>
  <c r="BU50" i="1"/>
  <c r="E54" i="1"/>
  <c r="H56" i="1"/>
  <c r="AZ32" i="1"/>
  <c r="BX56" i="1"/>
  <c r="BM47" i="1"/>
  <c r="O44" i="1"/>
  <c r="AM35" i="1"/>
  <c r="AF39" i="1"/>
  <c r="CT45" i="1"/>
  <c r="BV55" i="1"/>
  <c r="BL46" i="1"/>
  <c r="CS53" i="1"/>
  <c r="BS37" i="1"/>
  <c r="Y43" i="1"/>
  <c r="R54" i="1"/>
  <c r="AL41" i="1"/>
  <c r="F49" i="1"/>
  <c r="CP54" i="1"/>
  <c r="AH43" i="1"/>
  <c r="BS45" i="1"/>
  <c r="L56" i="1"/>
  <c r="BI45" i="1"/>
  <c r="G54" i="1"/>
  <c r="BD36" i="1"/>
  <c r="T50" i="1"/>
  <c r="AT40" i="1"/>
  <c r="BI54" i="1"/>
  <c r="P29" i="1"/>
  <c r="M45" i="1"/>
  <c r="AE39" i="1"/>
  <c r="BP41" i="1"/>
  <c r="AO46" i="1"/>
  <c r="AN47" i="1"/>
  <c r="H54" i="1"/>
  <c r="BB38" i="1"/>
  <c r="AI43" i="1"/>
  <c r="AU54" i="1"/>
  <c r="AW41" i="1"/>
  <c r="Y49" i="1"/>
  <c r="G55" i="1"/>
  <c r="I47" i="1"/>
  <c r="BT56" i="1"/>
  <c r="CV47" i="1"/>
  <c r="AC56" i="1"/>
  <c r="V39" i="1"/>
  <c r="AF50" i="1"/>
  <c r="AP46" i="1"/>
  <c r="BK39" i="1"/>
  <c r="G38" i="1"/>
  <c r="AE30" i="1"/>
  <c r="U43" i="1"/>
  <c r="AS42" i="1"/>
  <c r="BE39" i="1"/>
  <c r="BS42" i="1"/>
  <c r="BH55" i="1"/>
  <c r="M51" i="1"/>
  <c r="BH41" i="1"/>
  <c r="O53" i="1"/>
  <c r="CV40" i="1"/>
  <c r="AJ40" i="1"/>
  <c r="O46" i="1"/>
  <c r="AO51" i="1"/>
  <c r="CV50" i="1"/>
  <c r="L55" i="1"/>
  <c r="F52" i="1"/>
  <c r="D42" i="1"/>
  <c r="AH48" i="1"/>
  <c r="AJ45" i="1"/>
  <c r="AU29" i="1"/>
  <c r="AT55" i="1"/>
  <c r="BH43" i="1"/>
  <c r="AP50" i="1"/>
  <c r="BP53" i="1"/>
  <c r="T33" i="1"/>
  <c r="P44" i="1"/>
  <c r="AC30" i="1"/>
  <c r="AY35" i="1"/>
  <c r="AQ40" i="1"/>
  <c r="BI48" i="1"/>
  <c r="AU33" i="1"/>
  <c r="BO42" i="1"/>
  <c r="BO43" i="1"/>
  <c r="AM42" i="1"/>
  <c r="J45" i="1"/>
  <c r="X51" i="1"/>
  <c r="AL56" i="1"/>
  <c r="AP37" i="1"/>
  <c r="G51" i="1"/>
  <c r="K56" i="1"/>
  <c r="AL51" i="1"/>
  <c r="T56" i="1"/>
  <c r="H53" i="1"/>
  <c r="AW44" i="1"/>
  <c r="S53" i="1"/>
  <c r="BD52" i="1"/>
  <c r="R43" i="1"/>
  <c r="CH53" i="1"/>
  <c r="P54" i="1"/>
  <c r="W31" i="1"/>
  <c r="X36" i="1"/>
  <c r="BR40" i="1"/>
  <c r="BX50" i="1"/>
  <c r="CT33" i="1"/>
  <c r="AB43" i="1"/>
  <c r="CS43" i="1"/>
  <c r="T43" i="1"/>
  <c r="AK45" i="1"/>
  <c r="CU51" i="1"/>
  <c r="AD30" i="1"/>
  <c r="AV35" i="1"/>
  <c r="P39" i="1"/>
  <c r="BB29" i="1"/>
  <c r="X52" i="1"/>
  <c r="BX45" i="1"/>
  <c r="BC40" i="1"/>
  <c r="CV41" i="1"/>
  <c r="AX46" i="1"/>
  <c r="Z56" i="1"/>
  <c r="K48" i="1"/>
  <c r="V55" i="1"/>
  <c r="CR38" i="1"/>
  <c r="AE44" i="1"/>
  <c r="O55" i="1"/>
  <c r="BT41" i="1"/>
  <c r="X50" i="1"/>
  <c r="P55" i="1"/>
  <c r="BX51" i="1"/>
  <c r="BK49" i="1"/>
  <c r="X31" i="1"/>
  <c r="AN48" i="1"/>
  <c r="BQ40" i="1"/>
  <c r="AB47" i="1"/>
  <c r="CS52" i="1"/>
  <c r="BI49" i="1"/>
  <c r="BK36" i="1"/>
  <c r="V40" i="1"/>
  <c r="CR42" i="1"/>
  <c r="AP52" i="1"/>
  <c r="X39" i="1"/>
  <c r="BL47" i="1"/>
  <c r="R44" i="1"/>
  <c r="BT30" i="1"/>
  <c r="Z47" i="1"/>
  <c r="BS53" i="1"/>
  <c r="D36" i="1"/>
  <c r="F48" i="1"/>
  <c r="AQ52" i="1"/>
  <c r="AV48" i="1"/>
  <c r="AQ43" i="1"/>
  <c r="BU46" i="1"/>
  <c r="BS48" i="1"/>
  <c r="AQ46" i="1"/>
  <c r="BG55" i="1"/>
  <c r="BK50" i="1"/>
  <c r="BA53" i="1"/>
  <c r="BK43" i="1"/>
  <c r="AO47" i="1"/>
  <c r="AY53" i="1"/>
  <c r="BX47" i="1"/>
  <c r="BE47" i="1"/>
  <c r="BK29" i="1"/>
  <c r="AW47" i="1"/>
  <c r="AJ53" i="1"/>
  <c r="AU55" i="1"/>
  <c r="Q52" i="1"/>
  <c r="BX44" i="1"/>
  <c r="AC44" i="1"/>
  <c r="AN53" i="1"/>
  <c r="H40" i="1"/>
  <c r="CS50" i="1"/>
  <c r="CP56" i="1"/>
  <c r="BO53" i="1"/>
  <c r="AR53" i="1"/>
  <c r="BA49" i="1"/>
  <c r="CU56" i="1"/>
  <c r="BO51" i="1"/>
  <c r="AH49" i="1"/>
  <c r="Y34" i="1"/>
  <c r="BL33" i="1"/>
  <c r="BL50" i="1"/>
  <c r="BC52" i="1"/>
  <c r="Y56" i="1"/>
  <c r="X53" i="1"/>
  <c r="D41" i="1"/>
  <c r="W41" i="1"/>
  <c r="D55" i="1"/>
  <c r="BC43" i="1"/>
  <c r="J51" i="1"/>
  <c r="W38" i="1"/>
  <c r="CX38" i="1"/>
  <c r="CU43" i="1"/>
  <c r="AT56" i="1"/>
  <c r="M37" i="1"/>
  <c r="BC34" i="1"/>
  <c r="BV56" i="1"/>
  <c r="BR29" i="1"/>
  <c r="BK54" i="1"/>
  <c r="Q53" i="1"/>
  <c r="AK30" i="1"/>
  <c r="BN43" i="1"/>
  <c r="BS43" i="1"/>
  <c r="AV41" i="1"/>
  <c r="CW36" i="1"/>
  <c r="AC31" i="1"/>
  <c r="AB49" i="1"/>
  <c r="Y29" i="1"/>
  <c r="AF41" i="1"/>
  <c r="W51" i="1"/>
  <c r="AV46" i="1"/>
  <c r="CV33" i="1"/>
  <c r="BG48" i="1"/>
  <c r="BG54" i="1"/>
  <c r="BE44" i="1"/>
  <c r="BV37" i="1"/>
  <c r="Z48" i="1"/>
  <c r="AR30" i="1"/>
  <c r="BA52" i="1"/>
  <c r="BE48" i="1"/>
  <c r="AP43" i="1"/>
  <c r="E45" i="1"/>
  <c r="E47" i="1"/>
  <c r="AK37" i="1"/>
  <c r="N49" i="1"/>
  <c r="AQ56" i="1"/>
  <c r="BK30" i="1"/>
  <c r="AX47" i="1"/>
  <c r="CP55" i="1"/>
  <c r="D43" i="1"/>
  <c r="AF51" i="1"/>
  <c r="V56" i="1"/>
  <c r="BX54" i="1"/>
  <c r="F53" i="1"/>
  <c r="V46" i="1"/>
  <c r="L40" i="1"/>
  <c r="BR49" i="1"/>
  <c r="BR50" i="1"/>
  <c r="W55" i="1"/>
  <c r="CP53" i="1"/>
  <c r="O49" i="1"/>
  <c r="F56" i="1"/>
  <c r="CV56" i="1"/>
  <c r="BY45" i="1"/>
  <c r="AI40" i="1"/>
  <c r="BX36" i="1"/>
  <c r="K47" i="1"/>
  <c r="AM39" i="1"/>
  <c r="AU47" i="1"/>
  <c r="H50" i="1"/>
  <c r="CW56" i="1"/>
  <c r="CR31" i="1"/>
  <c r="BO56" i="1"/>
  <c r="CX50" i="1"/>
  <c r="W53" i="1"/>
  <c r="AQ51" i="1"/>
  <c r="AB54" i="1"/>
  <c r="AV33" i="1"/>
  <c r="Q56" i="1"/>
  <c r="K55" i="1"/>
  <c r="AB52" i="1"/>
  <c r="D38" i="1"/>
  <c r="I51" i="1"/>
  <c r="AV37" i="1"/>
  <c r="AS54" i="1"/>
  <c r="AX48" i="1"/>
  <c r="N44" i="1"/>
  <c r="CP52" i="1"/>
  <c r="BP52" i="1"/>
  <c r="AN29" i="1"/>
  <c r="Q51" i="1"/>
  <c r="X42" i="1"/>
  <c r="BB48" i="1"/>
  <c r="BK46" i="1"/>
  <c r="BI52" i="1"/>
  <c r="AV42" i="1"/>
  <c r="CR37" i="1"/>
  <c r="BB46" i="1"/>
  <c r="AO53" i="1"/>
  <c r="BJ33" i="1"/>
  <c r="BH44" i="1"/>
  <c r="BM51" i="1"/>
  <c r="AA47" i="1"/>
  <c r="AY34" i="1"/>
  <c r="P31" i="1"/>
  <c r="BP54" i="1"/>
  <c r="BP44" i="1"/>
  <c r="U41" i="1"/>
  <c r="AA49" i="1"/>
  <c r="N33" i="1"/>
  <c r="K53" i="1"/>
  <c r="AW49" i="1"/>
  <c r="AY43" i="1"/>
  <c r="F54" i="1"/>
  <c r="BP47" i="1"/>
  <c r="BA38" i="1"/>
  <c r="AG49" i="1"/>
  <c r="BF56" i="1"/>
  <c r="BX31" i="1"/>
  <c r="BH47" i="1"/>
  <c r="AJ56" i="1"/>
  <c r="V44" i="1"/>
  <c r="AZ51" i="1"/>
  <c r="AK56" i="1"/>
  <c r="N55" i="1"/>
  <c r="AQ53" i="1"/>
  <c r="AH46" i="1"/>
  <c r="CV49" i="1"/>
  <c r="BI53" i="1"/>
  <c r="H52" i="1"/>
  <c r="S56" i="1"/>
  <c r="BE56" i="1"/>
  <c r="BJ49" i="1"/>
  <c r="BS47" i="1"/>
  <c r="BD44" i="1"/>
  <c r="AZ56" i="1"/>
  <c r="CT53" i="1"/>
  <c r="AU52" i="1"/>
  <c r="CR44" i="1"/>
  <c r="BR30" i="1"/>
  <c r="CX53" i="1"/>
  <c r="AJ33" i="1"/>
  <c r="T53" i="1"/>
  <c r="I56" i="1"/>
  <c r="AT29" i="1"/>
  <c r="U51" i="1"/>
  <c r="CW47" i="1"/>
  <c r="CT51" i="1"/>
  <c r="AN55" i="1"/>
  <c r="AP55" i="1"/>
  <c r="J46" i="1"/>
  <c r="V37" i="1"/>
  <c r="P51" i="1"/>
  <c r="X56" i="1"/>
  <c r="CU50" i="1"/>
  <c r="BJ48" i="1"/>
  <c r="CP51" i="1"/>
  <c r="AS43" i="1"/>
  <c r="BF41" i="1"/>
  <c r="E55" i="1"/>
  <c r="AG56" i="1"/>
  <c r="AU39" i="1"/>
  <c r="U55" i="1"/>
  <c r="BE43" i="1"/>
  <c r="BK56" i="1"/>
  <c r="BC53" i="1"/>
  <c r="BN56" i="1"/>
  <c r="AH56" i="1"/>
  <c r="CD50" i="1"/>
  <c r="E43" i="1"/>
  <c r="CR43" i="1"/>
  <c r="BJ46" i="1"/>
  <c r="AW30" i="1"/>
  <c r="R36" i="1"/>
  <c r="N45" i="1"/>
  <c r="AE53" i="1"/>
  <c r="AW50" i="1"/>
  <c r="BJ34" i="1"/>
  <c r="BB31" i="1"/>
  <c r="AI55" i="1"/>
  <c r="BU45" i="1"/>
  <c r="BB42" i="1"/>
  <c r="AU49" i="1"/>
  <c r="AM36" i="1"/>
  <c r="AS55" i="1"/>
  <c r="AQ54" i="1"/>
  <c r="BI44" i="1"/>
  <c r="AV56" i="1"/>
  <c r="CS49" i="1"/>
  <c r="BK38" i="1"/>
  <c r="BU56" i="1"/>
  <c r="AT33" i="1"/>
  <c r="AZ30" i="1"/>
  <c r="BI51" i="1"/>
  <c r="O42" i="1"/>
  <c r="BQ51" i="1"/>
  <c r="CX56" i="1"/>
  <c r="BI50" i="1"/>
  <c r="AK47" i="1"/>
  <c r="BD45" i="1"/>
  <c r="F51" i="1"/>
  <c r="AZ55" i="1"/>
  <c r="E50" i="1"/>
  <c r="CV54" i="1"/>
  <c r="CU39" i="1"/>
  <c r="J36" i="1"/>
  <c r="S45" i="1"/>
  <c r="J48" i="1"/>
  <c r="AE55" i="1"/>
  <c r="M42" i="1"/>
  <c r="D51" i="1"/>
  <c r="BD32" i="1"/>
  <c r="AV51" i="1"/>
  <c r="AI48" i="1"/>
  <c r="BT39" i="1"/>
  <c r="AH31" i="1"/>
  <c r="S52" i="1"/>
  <c r="AN52" i="1"/>
  <c r="BO55" i="1"/>
  <c r="AA56" i="1"/>
  <c r="AJ41" i="1"/>
  <c r="J56" i="1"/>
  <c r="BO39" i="1"/>
  <c r="BW55" i="1"/>
  <c r="AQ55" i="1"/>
  <c r="AA43" i="1"/>
  <c r="BS56" i="1"/>
  <c r="CW39" i="1"/>
  <c r="BE55" i="1"/>
  <c r="Q31" i="1"/>
  <c r="AS51" i="1"/>
  <c r="AN56" i="1"/>
  <c r="F40" i="1"/>
  <c r="BT51" i="1"/>
  <c r="AJ48" i="1"/>
  <c r="AB34" i="1"/>
  <c r="AS41" i="1"/>
  <c r="AY47" i="1"/>
  <c r="AT54" i="1"/>
  <c r="D52" i="1"/>
  <c r="BJ35" i="1"/>
  <c r="BH36" i="1"/>
  <c r="AD43" i="1"/>
  <c r="Y50" i="1"/>
  <c r="W45" i="1"/>
  <c r="CV52" i="1"/>
  <c r="BR43" i="1"/>
  <c r="AM56" i="1"/>
  <c r="S55" i="1"/>
  <c r="AS52" i="1"/>
  <c r="F33" i="1"/>
  <c r="AF53" i="1"/>
  <c r="N41" i="1"/>
  <c r="AL52" i="1"/>
  <c r="BO52" i="1"/>
  <c r="CP38" i="1"/>
  <c r="X49" i="1"/>
  <c r="CS31" i="1"/>
  <c r="BT47" i="1"/>
  <c r="BH52" i="1"/>
  <c r="AA52" i="1"/>
  <c r="AS50" i="1"/>
  <c r="BN36" i="1"/>
  <c r="X46" i="1"/>
  <c r="BV30" i="1"/>
  <c r="L29" i="1"/>
  <c r="J52" i="1"/>
  <c r="F42" i="1"/>
  <c r="CX54" i="1"/>
  <c r="AP49" i="1"/>
  <c r="AR43" i="1"/>
  <c r="AF49" i="1"/>
  <c r="AZ53" i="1"/>
  <c r="AJ54" i="1"/>
  <c r="BN35" i="1"/>
  <c r="BG42" i="1"/>
  <c r="AZ50" i="1"/>
  <c r="AA40" i="1"/>
  <c r="BK48" i="1"/>
  <c r="AL30" i="1"/>
  <c r="AS53" i="1"/>
  <c r="AD36" i="1"/>
  <c r="N37" i="1"/>
  <c r="BB55" i="1"/>
  <c r="BV43" i="1"/>
  <c r="N54" i="1"/>
  <c r="BM55" i="1"/>
  <c r="AQ45" i="1"/>
  <c r="BB54" i="1"/>
  <c r="CU45" i="1"/>
  <c r="G32" i="1"/>
  <c r="CX35" i="1"/>
  <c r="CX36" i="1"/>
  <c r="L69" i="1"/>
  <c r="K25" i="1"/>
  <c r="CL28" i="1" l="1"/>
  <c r="CM28" i="1"/>
  <c r="BI28" i="1"/>
  <c r="AV28" i="1"/>
  <c r="AZ28" i="1"/>
  <c r="AF28" i="1"/>
  <c r="CD28" i="1"/>
  <c r="BP28" i="1"/>
  <c r="CW28" i="1"/>
  <c r="BD28" i="1"/>
  <c r="CX28" i="1"/>
  <c r="BF28" i="1"/>
  <c r="BM28" i="1"/>
  <c r="N28" i="1"/>
  <c r="AC28" i="1"/>
  <c r="X28" i="1"/>
  <c r="V28" i="1"/>
  <c r="I28" i="1"/>
  <c r="P28" i="1"/>
  <c r="CK28" i="1"/>
  <c r="AT28" i="1"/>
  <c r="BR28" i="1"/>
  <c r="CT28" i="1"/>
  <c r="CA28" i="1"/>
  <c r="BW28" i="1"/>
  <c r="BL28" i="1"/>
  <c r="CB28" i="1"/>
  <c r="AK28" i="1"/>
  <c r="AO28" i="1"/>
  <c r="U28" i="1"/>
  <c r="CV28" i="1"/>
  <c r="BT28" i="1"/>
  <c r="M28" i="1"/>
  <c r="BH28" i="1"/>
  <c r="T28" i="1"/>
  <c r="BV28" i="1"/>
  <c r="CJ28" i="1"/>
  <c r="BA28" i="1"/>
  <c r="BY28" i="1"/>
  <c r="F28" i="1"/>
  <c r="AD28" i="1"/>
  <c r="CU28" i="1"/>
  <c r="AY28" i="1"/>
  <c r="AW28" i="1"/>
  <c r="BZ28" i="1"/>
  <c r="AL28" i="1"/>
  <c r="AB28" i="1"/>
  <c r="E28" i="1"/>
  <c r="Y28" i="1"/>
  <c r="CR28" i="1"/>
  <c r="H28" i="1"/>
  <c r="CP28" i="1"/>
  <c r="L28" i="1"/>
  <c r="AA28" i="1"/>
  <c r="BK28" i="1"/>
  <c r="AI28" i="1"/>
  <c r="AP28" i="1"/>
  <c r="AQ28" i="1"/>
  <c r="S28" i="1"/>
  <c r="BS28" i="1"/>
  <c r="AR28" i="1"/>
  <c r="BN28" i="1"/>
  <c r="Z28" i="1"/>
  <c r="CI28" i="1"/>
  <c r="AH28" i="1"/>
  <c r="J28" i="1"/>
  <c r="AG28" i="1"/>
  <c r="CH28" i="1"/>
  <c r="AN28" i="1"/>
  <c r="BC28" i="1"/>
  <c r="O28" i="1"/>
  <c r="Q28" i="1"/>
  <c r="K28" i="1"/>
  <c r="BE28" i="1"/>
  <c r="CE28" i="1"/>
  <c r="AU28" i="1"/>
  <c r="BJ28" i="1"/>
  <c r="W28" i="1"/>
  <c r="AJ28" i="1"/>
  <c r="BO28" i="1"/>
  <c r="CF28" i="1"/>
  <c r="BQ28" i="1"/>
  <c r="AS28" i="1"/>
  <c r="D28" i="1"/>
  <c r="CC28" i="1"/>
  <c r="BX28" i="1"/>
  <c r="BU28" i="1"/>
  <c r="CS28" i="1"/>
  <c r="CG28" i="1"/>
  <c r="R28" i="1"/>
  <c r="BB28" i="1"/>
  <c r="AX28" i="1"/>
  <c r="AM28" i="1"/>
  <c r="G28" i="1"/>
  <c r="AE28" i="1"/>
  <c r="BG28" i="1"/>
  <c r="L25" i="1"/>
  <c r="M69" i="1"/>
  <c r="M25" i="1" l="1"/>
  <c r="N69" i="1"/>
  <c r="N25" i="1" l="1"/>
  <c r="O69" i="1"/>
  <c r="O25" i="1" l="1"/>
  <c r="P69" i="1"/>
  <c r="P25" i="1" l="1"/>
  <c r="Q69" i="1"/>
  <c r="Q25" i="1" l="1"/>
  <c r="R69" i="1"/>
  <c r="R25" i="1" l="1"/>
  <c r="S69" i="1"/>
  <c r="T69" i="1" l="1"/>
  <c r="S25" i="1"/>
  <c r="T25" i="1" l="1"/>
  <c r="U69" i="1"/>
  <c r="U25" i="1" l="1"/>
  <c r="V69" i="1"/>
  <c r="V25" i="1" l="1"/>
  <c r="W69" i="1"/>
  <c r="W25" i="1" l="1"/>
  <c r="X69" i="1"/>
  <c r="X25" i="1" l="1"/>
  <c r="Y69" i="1"/>
  <c r="Y25" i="1" l="1"/>
  <c r="Z69" i="1"/>
  <c r="AA69" i="1" l="1"/>
  <c r="Z25" i="1"/>
  <c r="AA25" i="1" l="1"/>
  <c r="AB69" i="1"/>
  <c r="AC69" i="1" l="1"/>
  <c r="AB25" i="1"/>
  <c r="AC25" i="1" l="1"/>
  <c r="AD69" i="1"/>
  <c r="AD25" i="1" l="1"/>
  <c r="AE69" i="1"/>
  <c r="AE25" i="1" l="1"/>
  <c r="AF69" i="1"/>
  <c r="AF25" i="1" l="1"/>
  <c r="AG69" i="1"/>
  <c r="AG25" i="1" l="1"/>
  <c r="AH69" i="1"/>
  <c r="AH25" i="1" l="1"/>
  <c r="AI69" i="1"/>
  <c r="AI25" i="1" l="1"/>
  <c r="AJ69" i="1"/>
  <c r="AJ25" i="1" l="1"/>
  <c r="AK69" i="1"/>
  <c r="AK25" i="1" l="1"/>
  <c r="AL69" i="1"/>
  <c r="AL25" i="1" l="1"/>
  <c r="AM69" i="1"/>
  <c r="AM25" i="1" l="1"/>
  <c r="AN69" i="1"/>
  <c r="AN25" i="1" l="1"/>
  <c r="AO69" i="1"/>
  <c r="AO25" i="1" l="1"/>
  <c r="AP69" i="1"/>
  <c r="AQ69" i="1" l="1"/>
  <c r="AP25" i="1"/>
  <c r="AQ25" i="1" l="1"/>
  <c r="AR69" i="1"/>
  <c r="AR25" i="1" l="1"/>
  <c r="AS69" i="1"/>
  <c r="AS25" i="1" l="1"/>
  <c r="AT69" i="1"/>
  <c r="AT25" i="1" l="1"/>
  <c r="AU69" i="1"/>
  <c r="AV69" i="1" l="1"/>
  <c r="AU25" i="1"/>
  <c r="AW69" i="1" l="1"/>
  <c r="AV25" i="1"/>
  <c r="AW25" i="1" l="1"/>
  <c r="AX69" i="1"/>
  <c r="AX25" i="1" l="1"/>
  <c r="AY69" i="1"/>
  <c r="AY25" i="1" l="1"/>
  <c r="AZ69" i="1"/>
  <c r="AZ25" i="1" l="1"/>
  <c r="BA69" i="1"/>
  <c r="BB69" i="1" l="1"/>
  <c r="BA25" i="1"/>
  <c r="BC69" i="1" l="1"/>
  <c r="BB25" i="1"/>
  <c r="BC25" i="1" l="1"/>
  <c r="BD69" i="1"/>
  <c r="BD25" i="1" l="1"/>
  <c r="BE69" i="1"/>
  <c r="BE25" i="1" l="1"/>
  <c r="BF69" i="1"/>
  <c r="BF25" i="1" l="1"/>
  <c r="BG69" i="1"/>
  <c r="BG25" i="1" l="1"/>
  <c r="BH69" i="1"/>
  <c r="BH25" i="1" l="1"/>
  <c r="BI69" i="1"/>
  <c r="BJ69" i="1" l="1"/>
  <c r="BI25" i="1"/>
  <c r="BJ25" i="1" l="1"/>
  <c r="BK69" i="1"/>
  <c r="BL69" i="1" l="1"/>
  <c r="BK25" i="1"/>
  <c r="BL25" i="1" l="1"/>
  <c r="BM69" i="1"/>
  <c r="BM25" i="1" l="1"/>
  <c r="BN69" i="1"/>
  <c r="BN25" i="1" l="1"/>
  <c r="BO69" i="1"/>
  <c r="BO25" i="1" l="1"/>
  <c r="BP69" i="1"/>
  <c r="BQ69" i="1" l="1"/>
  <c r="BR69" i="1" s="1"/>
  <c r="BS69" i="1" s="1"/>
  <c r="BT69" i="1" s="1"/>
  <c r="BU69" i="1" s="1"/>
  <c r="BV69" i="1" s="1"/>
  <c r="BW69" i="1" s="1"/>
  <c r="BX69" i="1" s="1"/>
  <c r="BY69" i="1" s="1"/>
  <c r="BZ69" i="1" s="1"/>
  <c r="BP25" i="1"/>
  <c r="CA69" i="1" l="1"/>
  <c r="CB69" i="1" s="1"/>
  <c r="CC69" i="1" s="1"/>
  <c r="CD69" i="1" s="1"/>
  <c r="CE69" i="1" s="1"/>
  <c r="CF69" i="1" s="1"/>
  <c r="CG69" i="1" s="1"/>
  <c r="CH69" i="1" s="1"/>
  <c r="CI69" i="1" s="1"/>
  <c r="CJ69" i="1" s="1"/>
  <c r="CK69" i="1" s="1"/>
  <c r="CL69" i="1" s="1"/>
  <c r="BZ25" i="1"/>
  <c r="BQ25" i="1"/>
  <c r="CL25" i="1" l="1"/>
  <c r="CM69" i="1"/>
  <c r="BR25" i="1"/>
  <c r="CM25" i="1" l="1"/>
  <c r="CN69" i="1"/>
  <c r="CN25" i="1" s="1"/>
  <c r="BS25" i="1"/>
  <c r="BV25" i="1" l="1"/>
  <c r="BT25" i="1"/>
  <c r="CB25" i="1" l="1"/>
  <c r="BY25" i="1"/>
  <c r="BW25" i="1"/>
  <c r="BU25" i="1"/>
  <c r="CE25" i="1" l="1"/>
  <c r="CA25" i="1"/>
  <c r="BX25" i="1"/>
  <c r="CH25" i="1" l="1"/>
  <c r="CK25" i="1"/>
  <c r="CD25" i="1"/>
  <c r="CC25" i="1"/>
  <c r="CG25" i="1" l="1"/>
  <c r="CJ25" i="1"/>
  <c r="CF25" i="1"/>
  <c r="CI25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<sst xmlns="http://schemas.openxmlformats.org/spreadsheetml/2006/main" count="72" uniqueCount="62">
  <si>
    <t>Poker Club Statistics</t>
  </si>
  <si>
    <t>Inclusion criteria</t>
  </si>
  <si>
    <t>1. Game must have 4 players at minimum.</t>
  </si>
  <si>
    <t>2. Share of new players cannot exceed 50% of the total players, as outlined in Table A.</t>
  </si>
  <si>
    <t>3. Minimum buy-in of €10 per player. Re-entry policy agreed separately for each game.</t>
  </si>
  <si>
    <t>4. All players and outcomes are documented.</t>
  </si>
  <si>
    <t>Table A</t>
  </si>
  <si>
    <t># of players</t>
  </si>
  <si>
    <t>Max # of new</t>
  </si>
  <si>
    <t>Output</t>
  </si>
  <si>
    <t>Ranking</t>
  </si>
  <si>
    <t>Summary statistics</t>
  </si>
  <si>
    <t>Game #</t>
  </si>
  <si>
    <t>Year</t>
  </si>
  <si>
    <t>Date</t>
  </si>
  <si>
    <t>Calculations and input</t>
  </si>
  <si>
    <t>Net profits</t>
  </si>
  <si>
    <t>All-time net profits</t>
  </si>
  <si>
    <t>ROI</t>
  </si>
  <si>
    <t>Games played</t>
  </si>
  <si>
    <t>Net profits / game</t>
  </si>
  <si>
    <t>Check (=0)</t>
  </si>
  <si>
    <t>Profits</t>
  </si>
  <si>
    <t>Total</t>
  </si>
  <si>
    <t>Risked capital</t>
  </si>
  <si>
    <t>Amos Aaltio</t>
  </si>
  <si>
    <t>Atte Rouhe</t>
  </si>
  <si>
    <t>Juho Korhonen</t>
  </si>
  <si>
    <t>Roope Rättö</t>
  </si>
  <si>
    <t>Joonas Rasa</t>
  </si>
  <si>
    <t>Lalli Nurmi</t>
  </si>
  <si>
    <t>Valtteri Kämäräinen</t>
  </si>
  <si>
    <t>Kalle Armanto</t>
  </si>
  <si>
    <t>Jonis Heikkinen</t>
  </si>
  <si>
    <t>Ilmari Lehtinen</t>
  </si>
  <si>
    <t>Jamiro Lilja</t>
  </si>
  <si>
    <t>Tuomas Järvelä</t>
  </si>
  <si>
    <t>Aapo Pajunen</t>
  </si>
  <si>
    <t>Eerika Ojantakanen</t>
  </si>
  <si>
    <t>Otto von Boehm</t>
  </si>
  <si>
    <t>Samuli Laakko</t>
  </si>
  <si>
    <t>Otto Palkama</t>
  </si>
  <si>
    <t>Johannes Jäämeri</t>
  </si>
  <si>
    <t>Mauno Malmivaara</t>
  </si>
  <si>
    <t>Heikki Jalo</t>
  </si>
  <si>
    <t>Jussi Raja</t>
  </si>
  <si>
    <t>Tomi Pihlajamaa</t>
  </si>
  <si>
    <t>Eetu Kauppinen</t>
  </si>
  <si>
    <t>[Joniksen kämppis]</t>
  </si>
  <si>
    <t>Tresor Banzuzi</t>
  </si>
  <si>
    <t>Aleksi Järveläinen</t>
  </si>
  <si>
    <t>Sami Hätälä</t>
  </si>
  <si>
    <t>Artturi Jalli</t>
  </si>
  <si>
    <t>ITM finishes</t>
  </si>
  <si>
    <t>ITM finish rate</t>
  </si>
  <si>
    <t>Share of PP won</t>
  </si>
  <si>
    <t>Share of PP risked</t>
  </si>
  <si>
    <t>Aapo Kinnari</t>
  </si>
  <si>
    <t>Erik Kymäläinen</t>
  </si>
  <si>
    <t>Vilko Repo</t>
  </si>
  <si>
    <t>Vili Ohma</t>
  </si>
  <si>
    <t>Tuomas Haapalehto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</si>
</sst>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64" formatCode="&quot;Session &quot;0"/>
    <numFmt numFmtId="165" formatCode="#,##0;\-#,##0;&quot;-&quot;"/>
    <numFmt numFmtId="166" formatCode="\+\ #,##0\ &quot;€&quot;;\-\ #,##0\ &quot;€&quot;;\+\-\ 0"/>
    <numFmt numFmtId="167" formatCode="dd/mm/yy"/>
    <numFmt numFmtId="168" formatCode="\+\ #,##0\ &quot;€&quot;;\-\ #,##0\ &quot;€&quot;;\+\-\ 0\ &quot;€&quot;"/>
    <numFmt numFmtId="169" formatCode="#,##0;\(#,##0\)"/>
    <numFmt numFmtId="170" formatCode="\+\ #,##0.00\ &quot;€&quot;;\-\ #,##0.00\ &quot;€&quot;;\+\-\ 0.00\ &quot;€&quot;"/>
    <numFmt numFmtId="171" formatCode="dd/mm"/>
    <numFmt numFmtId="172" formatCode="0&quot;.&quot;"/>
  </numFmts>
  <fonts count="14" x14ac:knownFonts="1">
    <font>
      <sz val="11"/>
      <color theme="1"/>
      <name val="Calibri"/>
      <family val="2"/>
      <scheme val="minor"/>
    </font>
    <font>
      <b/>
      <sz val="10"/>
      <color theme="0"/>
      <name val="Arial"/>
      <family val="2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0"/>
      <name val="Arial"/>
      <family val="2"/>
    </font>
    <font>
      <i/>
      <sz val="10"/>
      <color theme="1"/>
      <name val="Arial"/>
      <family val="2"/>
    </font>
    <font>
      <sz val="10"/>
      <name val="Arial"/>
      <family val="2"/>
    </font>
    <font>
      <i/>
      <sz val="10"/>
      <name val="Arial"/>
      <family val="2"/>
    </font>
    <font>
      <i/>
      <sz val="10"/>
      <color rgb="FF002060"/>
      <name val="Arial"/>
      <family val="2"/>
    </font>
    <font>
      <b/>
      <i/>
      <sz val="10"/>
      <name val="Arial"/>
      <family val="2"/>
    </font>
    <font>
      <b/>
      <i/>
      <sz val="10"/>
      <color theme="1"/>
      <name val="Arial"/>
      <family val="2"/>
    </font>
    <font>
      <sz val="10"/>
      <color rgb="FF002060"/>
      <name val="Arial"/>
      <family val="2"/>
    </font>
    <font>
      <sz val="10"/>
      <color theme="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</fills>
  <borders count="13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dotted">
        <color auto="1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dotted">
        <color auto="1"/>
      </left>
      <right/>
      <top/>
      <bottom style="thin">
        <color indexed="64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88">
    <xf numFmtId="0" fontId="0" fillId="0" borderId="0" xfId="0"/>
    <xf numFmtId="0" fontId="1" fillId="2" borderId="0" xfId="0" applyFont="1" applyFill="1"/>
    <xf numFmtId="0" fontId="3" fillId="0" borderId="0" xfId="0" applyFont="1"/>
    <xf numFmtId="0" fontId="3" fillId="2" borderId="0" xfId="0" applyFont="1" applyFill="1"/>
    <xf numFmtId="0" fontId="1" fillId="0" borderId="0" xfId="0" applyFont="1"/>
    <xf numFmtId="0" fontId="1" fillId="3" borderId="0" xfId="0" applyFont="1" applyFill="1"/>
    <xf numFmtId="0" fontId="3" fillId="0" borderId="0" xfId="0" applyFont="1" applyAlignment="1">
      <alignment horizontal="right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Continuous"/>
    </xf>
    <xf numFmtId="0" fontId="3" fillId="0" borderId="0" xfId="0" applyFont="1" applyAlignment="1">
      <alignment horizontal="centerContinuous"/>
    </xf>
    <xf numFmtId="0" fontId="3" fillId="0" borderId="3" xfId="0" applyFont="1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3" fillId="0" borderId="8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1" fillId="3" borderId="0" xfId="0" applyFont="1" applyFill="1" applyAlignment="1">
      <alignment horizontal="right"/>
    </xf>
    <xf numFmtId="14" fontId="5" fillId="5" borderId="0" xfId="0" applyNumberFormat="1" applyFont="1" applyFill="1"/>
    <xf numFmtId="167" fontId="6" fillId="5" borderId="0" xfId="0" applyNumberFormat="1" applyFont="1" applyFill="1" applyAlignment="1">
      <alignment horizontal="center"/>
    </xf>
    <xf numFmtId="167" fontId="6" fillId="0" borderId="0" xfId="0" applyNumberFormat="1" applyFont="1" applyAlignment="1">
      <alignment horizontal="center"/>
    </xf>
    <xf numFmtId="0" fontId="7" fillId="0" borderId="0" xfId="0" applyFont="1"/>
    <xf numFmtId="14" fontId="6" fillId="0" borderId="0" xfId="0" applyNumberFormat="1" applyFont="1" applyAlignment="1">
      <alignment horizontal="right"/>
    </xf>
    <xf numFmtId="1" fontId="8" fillId="0" borderId="0" xfId="0" applyNumberFormat="1" applyFont="1" applyAlignment="1">
      <alignment horizontal="center"/>
    </xf>
    <xf numFmtId="14" fontId="6" fillId="0" borderId="5" xfId="0" applyNumberFormat="1" applyFont="1" applyBorder="1" applyAlignment="1">
      <alignment horizontal="center"/>
    </xf>
    <xf numFmtId="14" fontId="6" fillId="0" borderId="0" xfId="0" applyNumberFormat="1" applyFont="1" applyAlignment="1">
      <alignment horizontal="center"/>
    </xf>
    <xf numFmtId="0" fontId="6" fillId="0" borderId="0" xfId="0" applyFont="1"/>
    <xf numFmtId="0" fontId="7" fillId="0" borderId="1" xfId="0" applyFont="1" applyBorder="1" applyAlignment="1">
      <alignment horizontal="right"/>
    </xf>
    <xf numFmtId="168" fontId="7" fillId="0" borderId="1" xfId="0" applyNumberFormat="1" applyFont="1" applyBorder="1" applyAlignment="1">
      <alignment horizontal="center"/>
    </xf>
    <xf numFmtId="166" fontId="7" fillId="0" borderId="1" xfId="0" applyNumberFormat="1" applyFont="1" applyBorder="1" applyAlignment="1">
      <alignment horizontal="center"/>
    </xf>
    <xf numFmtId="168" fontId="3" fillId="0" borderId="5" xfId="0" applyNumberFormat="1" applyFont="1" applyBorder="1" applyAlignment="1">
      <alignment horizontal="center"/>
    </xf>
    <xf numFmtId="9" fontId="7" fillId="0" borderId="0" xfId="1" applyFont="1" applyBorder="1" applyAlignment="1">
      <alignment horizontal="center"/>
    </xf>
    <xf numFmtId="165" fontId="7" fillId="0" borderId="0" xfId="0" applyNumberFormat="1" applyFont="1" applyAlignment="1">
      <alignment horizontal="center"/>
    </xf>
    <xf numFmtId="168" fontId="3" fillId="0" borderId="0" xfId="0" applyNumberFormat="1" applyFont="1" applyAlignment="1">
      <alignment horizontal="center"/>
    </xf>
    <xf numFmtId="0" fontId="7" fillId="4" borderId="0" xfId="0" applyFont="1" applyFill="1" applyAlignment="1">
      <alignment horizontal="right"/>
    </xf>
    <xf numFmtId="168" fontId="7" fillId="4" borderId="0" xfId="0" applyNumberFormat="1" applyFont="1" applyFill="1" applyAlignment="1">
      <alignment horizontal="center"/>
    </xf>
    <xf numFmtId="166" fontId="7" fillId="4" borderId="0" xfId="0" applyNumberFormat="1" applyFont="1" applyFill="1" applyAlignment="1">
      <alignment horizontal="center"/>
    </xf>
    <xf numFmtId="168" fontId="3" fillId="4" borderId="5" xfId="0" applyNumberFormat="1" applyFont="1" applyFill="1" applyBorder="1" applyAlignment="1">
      <alignment horizontal="center"/>
    </xf>
    <xf numFmtId="9" fontId="7" fillId="4" borderId="0" xfId="1" applyFont="1" applyFill="1" applyBorder="1" applyAlignment="1">
      <alignment horizontal="center"/>
    </xf>
    <xf numFmtId="165" fontId="7" fillId="4" borderId="0" xfId="0" applyNumberFormat="1" applyFont="1" applyFill="1" applyAlignment="1">
      <alignment horizontal="center"/>
    </xf>
    <xf numFmtId="168" fontId="3" fillId="4" borderId="0" xfId="0" applyNumberFormat="1" applyFont="1" applyFill="1" applyAlignment="1">
      <alignment horizontal="center"/>
    </xf>
    <xf numFmtId="0" fontId="7" fillId="0" borderId="0" xfId="0" applyFont="1" applyAlignment="1">
      <alignment horizontal="right"/>
    </xf>
    <xf numFmtId="168" fontId="7" fillId="0" borderId="0" xfId="0" applyNumberFormat="1" applyFont="1" applyAlignment="1">
      <alignment horizontal="center"/>
    </xf>
    <xf numFmtId="166" fontId="7" fillId="0" borderId="0" xfId="0" applyNumberFormat="1" applyFont="1" applyAlignment="1">
      <alignment horizontal="center"/>
    </xf>
    <xf numFmtId="0" fontId="8" fillId="0" borderId="0" xfId="0" applyFont="1" applyAlignment="1">
      <alignment horizontal="right"/>
    </xf>
    <xf numFmtId="165" fontId="8" fillId="0" borderId="0" xfId="0" applyNumberFormat="1" applyFont="1" applyAlignment="1">
      <alignment horizontal="center"/>
    </xf>
    <xf numFmtId="9" fontId="8" fillId="0" borderId="0" xfId="1" applyFont="1" applyBorder="1" applyAlignment="1">
      <alignment horizontal="center"/>
    </xf>
    <xf numFmtId="165" fontId="8" fillId="0" borderId="0" xfId="0" applyNumberFormat="1" applyFont="1" applyAlignment="1">
      <alignment horizontal="right"/>
    </xf>
    <xf numFmtId="0" fontId="1" fillId="0" borderId="0" xfId="0" applyFont="1" applyAlignment="1">
      <alignment horizontal="right"/>
    </xf>
    <xf numFmtId="164" fontId="6" fillId="0" borderId="0" xfId="0" applyNumberFormat="1" applyFont="1" applyAlignment="1">
      <alignment horizontal="right"/>
    </xf>
    <xf numFmtId="169" fontId="6" fillId="0" borderId="0" xfId="0" applyNumberFormat="1" applyFont="1" applyAlignment="1">
      <alignment horizontal="center"/>
    </xf>
    <xf numFmtId="165" fontId="10" fillId="0" borderId="0" xfId="0" applyNumberFormat="1" applyFont="1" applyAlignment="1">
      <alignment horizontal="center"/>
    </xf>
    <xf numFmtId="0" fontId="11" fillId="0" borderId="0" xfId="0" applyFont="1"/>
    <xf numFmtId="14" fontId="7" fillId="0" borderId="0" xfId="0" applyNumberFormat="1" applyFont="1"/>
    <xf numFmtId="166" fontId="7" fillId="0" borderId="0" xfId="0" applyNumberFormat="1" applyFont="1"/>
    <xf numFmtId="166" fontId="5" fillId="0" borderId="0" xfId="0" applyNumberFormat="1" applyFont="1"/>
    <xf numFmtId="168" fontId="12" fillId="0" borderId="1" xfId="0" applyNumberFormat="1" applyFont="1" applyBorder="1" applyAlignment="1">
      <alignment horizontal="center"/>
    </xf>
    <xf numFmtId="168" fontId="12" fillId="4" borderId="0" xfId="0" applyNumberFormat="1" applyFont="1" applyFill="1" applyAlignment="1">
      <alignment horizontal="center"/>
    </xf>
    <xf numFmtId="168" fontId="12" fillId="0" borderId="0" xfId="0" applyNumberFormat="1" applyFont="1" applyAlignment="1">
      <alignment horizontal="center"/>
    </xf>
    <xf numFmtId="0" fontId="4" fillId="0" borderId="0" xfId="0" applyFont="1" applyAlignment="1">
      <alignment horizontal="right"/>
    </xf>
    <xf numFmtId="168" fontId="5" fillId="0" borderId="0" xfId="0" applyNumberFormat="1" applyFont="1" applyAlignment="1">
      <alignment horizontal="center"/>
    </xf>
    <xf numFmtId="0" fontId="4" fillId="0" borderId="0" xfId="0" applyFont="1" applyAlignment="1">
      <alignment horizontal="center"/>
    </xf>
    <xf numFmtId="0" fontId="4" fillId="0" borderId="0" xfId="0" applyFont="1"/>
    <xf numFmtId="170" fontId="3" fillId="0" borderId="0" xfId="0" applyNumberFormat="1" applyFont="1"/>
    <xf numFmtId="0" fontId="13" fillId="0" borderId="0" xfId="0" applyFont="1" applyAlignment="1">
      <alignment horizontal="right"/>
    </xf>
    <xf numFmtId="168" fontId="13" fillId="0" borderId="0" xfId="0" applyNumberFormat="1" applyFont="1" applyAlignment="1">
      <alignment horizontal="center"/>
    </xf>
    <xf numFmtId="166" fontId="13" fillId="0" borderId="0" xfId="0" applyNumberFormat="1" applyFont="1" applyAlignment="1">
      <alignment horizontal="center"/>
    </xf>
    <xf numFmtId="168" fontId="13" fillId="0" borderId="5" xfId="0" applyNumberFormat="1" applyFont="1" applyBorder="1" applyAlignment="1">
      <alignment horizontal="center"/>
    </xf>
    <xf numFmtId="0" fontId="13" fillId="0" borderId="0" xfId="0" applyFont="1"/>
    <xf numFmtId="0" fontId="6" fillId="0" borderId="0" xfId="0" applyFont="1" applyAlignment="1">
      <alignment horizontal="right" wrapText="1"/>
    </xf>
    <xf numFmtId="171" fontId="6" fillId="0" borderId="0" xfId="0" applyNumberFormat="1" applyFont="1" applyAlignment="1">
      <alignment horizontal="center" wrapText="1"/>
    </xf>
    <xf numFmtId="167" fontId="6" fillId="0" borderId="0" xfId="0" applyNumberFormat="1" applyFont="1" applyAlignment="1">
      <alignment horizontal="center" wrapText="1"/>
    </xf>
    <xf numFmtId="14" fontId="6" fillId="0" borderId="12" xfId="0" applyNumberFormat="1" applyFont="1" applyBorder="1" applyAlignment="1">
      <alignment horizontal="center" wrapText="1"/>
    </xf>
    <xf numFmtId="14" fontId="6" fillId="0" borderId="11" xfId="0" applyNumberFormat="1" applyFont="1" applyBorder="1" applyAlignment="1">
      <alignment horizontal="center" wrapText="1"/>
    </xf>
    <xf numFmtId="0" fontId="6" fillId="0" borderId="0" xfId="0" applyFont="1" applyAlignment="1">
      <alignment wrapText="1"/>
    </xf>
    <xf numFmtId="171" fontId="9" fillId="0" borderId="0" xfId="0" applyNumberFormat="1" applyFont="1" applyAlignment="1">
      <alignment horizontal="center" wrapText="1"/>
    </xf>
    <xf numFmtId="0" fontId="3" fillId="0" borderId="0" xfId="0" applyFont="1" applyAlignment="1">
      <alignment horizontal="right" wrapText="1"/>
    </xf>
    <xf numFmtId="0" fontId="3" fillId="0" borderId="0" xfId="0" applyFont="1" applyAlignment="1">
      <alignment horizontal="center" wrapText="1"/>
    </xf>
    <xf numFmtId="0" fontId="3" fillId="0" borderId="0" xfId="0" applyFont="1" applyAlignment="1">
      <alignment wrapText="1"/>
    </xf>
    <xf numFmtId="0" fontId="3" fillId="0" borderId="9" xfId="0" applyFont="1" applyBorder="1" applyAlignment="1">
      <alignment horizontal="center" wrapText="1"/>
    </xf>
    <xf numFmtId="0" fontId="3" fillId="0" borderId="10" xfId="0" applyFont="1" applyBorder="1" applyAlignment="1">
      <alignment horizontal="center" wrapText="1"/>
    </xf>
    <xf numFmtId="1" fontId="8" fillId="0" borderId="0" xfId="0" applyNumberFormat="1" applyFont="1" applyAlignment="1">
      <alignment horizontal="center" wrapText="1"/>
    </xf>
    <xf numFmtId="14" fontId="6" fillId="0" borderId="0" xfId="0" applyNumberFormat="1" applyFont="1" applyAlignment="1">
      <alignment horizontal="center" wrapText="1"/>
    </xf>
    <xf numFmtId="172" fontId="5" fillId="0" borderId="1" xfId="0" applyNumberFormat="1" applyFont="1" applyBorder="1" applyAlignment="1">
      <alignment horizontal="right"/>
    </xf>
    <xf numFmtId="172" fontId="5" fillId="4" borderId="0" xfId="0" applyNumberFormat="1" applyFont="1" applyFill="1" applyAlignment="1">
      <alignment horizontal="right"/>
    </xf>
    <xf numFmtId="172" fontId="5" fillId="0" borderId="0" xfId="0" applyNumberFormat="1" applyFont="1" applyAlignment="1">
      <alignment horizontal="right"/>
    </xf>
    <xf numFmtId="0" fontId="12" fillId="0" borderId="1" xfId="0" applyFont="1" applyBorder="1" applyAlignment="1">
      <alignment horizontal="right"/>
    </xf>
    <xf numFmtId="0" fontId="12" fillId="4" borderId="0" xfId="0" applyFont="1" applyFill="1" applyAlignment="1">
      <alignment horizontal="right"/>
    </xf>
    <xf numFmtId="0" fontId="12" fillId="0" borderId="0" xfId="0" applyFont="1" applyAlignment="1">
      <alignment horizontal="right"/>
    </xf>
  </cellXfs>
  <cellStyles count="2">
    <cellStyle name="Normal" xfId="0" builtinId="0"/>
    <cellStyle name="Per cent" xfId="1" builtinId="5"/>
  </cellStyles>
  <dxfs count="4">
    <dxf>
      <font>
        <b val="0"/>
        <i/>
        <color theme="0"/>
      </font>
      <fill>
        <patternFill>
          <bgColor rgb="FFFF535B"/>
        </patternFill>
      </fill>
    </dxf>
    <dxf>
      <font>
        <b val="0"/>
        <i/>
        <color auto="1"/>
      </font>
      <fill>
        <patternFill>
          <bgColor rgb="FF69FF69"/>
        </patternFill>
      </fill>
    </dxf>
    <dxf>
      <font>
        <b val="0"/>
        <i/>
        <color theme="0"/>
      </font>
      <fill>
        <patternFill>
          <bgColor rgb="FFFF535B"/>
        </patternFill>
      </fill>
    </dxf>
    <dxf>
      <font>
        <b val="0"/>
        <i/>
        <color auto="1"/>
      </font>
      <fill>
        <patternFill>
          <bgColor rgb="FF69FF69"/>
        </patternFill>
      </fill>
    </dxf>
  </dxfs>
  <tableStyles count="0" defaultTableStyle="TableStyleMedium2" defaultPivotStyle="PivotStyleLight16"/>
  <colors>
    <mruColors>
      <color rgb="FFFF535B"/>
      <color rgb="FF69FF6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Poker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00B300"/>
      </a:accent1>
      <a:accent2>
        <a:srgbClr val="C7000A"/>
      </a:accent2>
      <a:accent3>
        <a:srgbClr val="790B0C"/>
      </a:accent3>
      <a:accent4>
        <a:srgbClr val="748494"/>
      </a:accent4>
      <a:accent5>
        <a:srgbClr val="BBC4C8"/>
      </a:accent5>
      <a:accent6>
        <a:srgbClr val="344B5C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595286-BACE-4C55-B641-2B597FF93EBC}">
  <sheetPr>
    <pageSetUpPr fitToPage="1"/>
  </sheetPr>
  <dimension ref="B1:CY189"/>
  <sheetViews>
    <sheetView showGridLines="0" tabSelected="1" view="pageBreakPreview" zoomScale="115" zoomScaleNormal="100" zoomScaleSheetLayoutView="115" workbookViewId="0">
      <pane xSplit="3" topLeftCell="BP1" activePane="topRight" state="frozen"/>
      <selection pane="topRight"/>
    </sheetView>
  </sheetViews>
  <sheetFormatPr defaultRowHeight="12.75" customHeight="1" outlineLevelRow="1" outlineLevelCol="1" x14ac:dyDescent="0.2"/>
  <cols>
    <col min="1" max="1" width="3.7109375" style="2" customWidth="1"/>
    <col min="2" max="2" width="4" style="6" customWidth="1"/>
    <col min="3" max="3" width="17.42578125" style="6" customWidth="1"/>
    <col min="4" max="4" width="6.42578125" style="6" hidden="1" customWidth="1" outlineLevel="1"/>
    <col min="5" max="10" width="6.42578125" style="7" hidden="1" customWidth="1" outlineLevel="1"/>
    <col min="11" max="11" width="7.28515625" style="7" hidden="1" customWidth="1" outlineLevel="1"/>
    <col min="12" max="16" width="6.42578125" style="7" hidden="1" customWidth="1" outlineLevel="1"/>
    <col min="17" max="17" width="7.28515625" style="7" hidden="1" customWidth="1" outlineLevel="1"/>
    <col min="18" max="18" width="6.42578125" style="7" hidden="1" customWidth="1" outlineLevel="1"/>
    <col min="19" max="20" width="7.28515625" style="7" hidden="1" customWidth="1" outlineLevel="1"/>
    <col min="21" max="21" width="6.42578125" style="7" hidden="1" customWidth="1" outlineLevel="1"/>
    <col min="22" max="24" width="7.28515625" style="7" hidden="1" customWidth="1" outlineLevel="1"/>
    <col min="25" max="26" width="6.42578125" style="7" hidden="1" customWidth="1" outlineLevel="1"/>
    <col min="27" max="92" width="7.28515625" style="7" hidden="1" customWidth="1" outlineLevel="1"/>
    <col min="93" max="93" width="3.7109375" style="7" customWidth="1" collapsed="1"/>
    <col min="94" max="94" width="9.7109375" style="2" customWidth="1"/>
    <col min="95" max="95" width="3.7109375" style="7" customWidth="1"/>
    <col min="96" max="102" width="9.7109375" style="2" customWidth="1"/>
    <col min="103" max="103" width="3.7109375" style="2" customWidth="1"/>
    <col min="104" max="108" width="12.7109375" style="2" customWidth="1"/>
    <col min="109" max="16384" width="9.140625" style="2"/>
  </cols>
  <sheetData>
    <row r="1" spans="2:103" ht="12.75" customHeight="1" x14ac:dyDescent="0.2"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2"/>
      <c r="CN1" s="2"/>
      <c r="CO1" s="2"/>
      <c r="CQ1" s="2"/>
    </row>
    <row r="2" spans="2:103" ht="12.75" customHeight="1" x14ac:dyDescent="0.2">
      <c r="B2" s="1" t="s">
        <v>0</v>
      </c>
      <c r="C2" s="1"/>
      <c r="D2" s="1"/>
      <c r="E2" s="1"/>
      <c r="F2" s="1"/>
      <c r="G2" s="1"/>
      <c r="H2" s="1"/>
      <c r="I2" s="1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4"/>
    </row>
    <row r="3" spans="2:103" ht="12.75" customHeight="1" x14ac:dyDescent="0.2"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  <c r="BR3" s="2"/>
      <c r="BS3" s="2"/>
      <c r="BT3" s="2"/>
      <c r="BU3" s="2"/>
      <c r="BV3" s="2"/>
      <c r="BW3" s="2"/>
      <c r="BX3" s="2"/>
      <c r="BY3" s="2"/>
      <c r="BZ3" s="2"/>
      <c r="CA3" s="2"/>
      <c r="CB3" s="2"/>
      <c r="CC3" s="2"/>
      <c r="CD3" s="2"/>
      <c r="CE3" s="2"/>
      <c r="CF3" s="2"/>
      <c r="CG3" s="2"/>
      <c r="CH3" s="2"/>
      <c r="CI3" s="2"/>
      <c r="CJ3" s="2"/>
      <c r="CK3" s="2"/>
      <c r="CL3" s="2"/>
      <c r="CM3" s="2"/>
      <c r="CN3" s="2"/>
      <c r="CO3" s="2"/>
      <c r="CQ3" s="2"/>
    </row>
    <row r="4" spans="2:103" ht="12.75" customHeight="1" x14ac:dyDescent="0.2">
      <c r="B4" s="5" t="s">
        <v>1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  <c r="BL4" s="5"/>
      <c r="BM4" s="5"/>
      <c r="BN4" s="5"/>
      <c r="BO4" s="5"/>
      <c r="BP4" s="5"/>
      <c r="BQ4" s="5"/>
      <c r="BR4" s="5"/>
      <c r="BS4" s="5"/>
      <c r="BT4" s="5"/>
      <c r="BU4" s="5"/>
      <c r="BV4" s="5"/>
      <c r="BW4" s="5"/>
      <c r="BX4" s="5"/>
      <c r="BY4" s="5"/>
      <c r="BZ4" s="5"/>
      <c r="CA4" s="5"/>
      <c r="CB4" s="5"/>
      <c r="CC4" s="5"/>
      <c r="CD4" s="5"/>
      <c r="CE4" s="5"/>
      <c r="CF4" s="5"/>
      <c r="CG4" s="5"/>
      <c r="CH4" s="5"/>
      <c r="CI4" s="5"/>
      <c r="CJ4" s="5"/>
      <c r="CK4" s="5"/>
      <c r="CL4" s="5"/>
      <c r="CM4" s="5"/>
      <c r="CN4" s="5"/>
      <c r="CO4" s="5"/>
      <c r="CP4" s="5"/>
      <c r="CQ4" s="5"/>
      <c r="CR4" s="5"/>
      <c r="CS4" s="5"/>
      <c r="CT4" s="5"/>
      <c r="CU4" s="5"/>
      <c r="CV4" s="5"/>
      <c r="CW4" s="5"/>
      <c r="CX4" s="5"/>
    </row>
    <row r="5" spans="2:103" ht="12.75" hidden="1" customHeight="1" outlineLevel="1" x14ac:dyDescent="0.2">
      <c r="B5" s="2" t="s">
        <v>2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  <c r="BM5" s="2"/>
      <c r="BN5" s="2"/>
      <c r="BO5" s="2"/>
      <c r="BP5" s="2"/>
      <c r="BQ5" s="2"/>
      <c r="BR5" s="2"/>
      <c r="BS5" s="2"/>
      <c r="BT5" s="2"/>
      <c r="BU5" s="2"/>
      <c r="BV5" s="2"/>
      <c r="BW5" s="2"/>
      <c r="BX5" s="2"/>
      <c r="BY5" s="2"/>
      <c r="BZ5" s="2"/>
      <c r="CA5" s="2"/>
      <c r="CB5" s="2"/>
      <c r="CC5" s="2"/>
      <c r="CD5" s="2"/>
      <c r="CE5" s="2"/>
      <c r="CF5" s="2"/>
      <c r="CG5" s="2"/>
      <c r="CH5" s="2"/>
      <c r="CI5" s="2"/>
      <c r="CJ5" s="2"/>
      <c r="CK5" s="2"/>
      <c r="CL5" s="2"/>
      <c r="CM5" s="2"/>
      <c r="CN5" s="2"/>
      <c r="CO5" s="2"/>
      <c r="CQ5" s="2"/>
    </row>
    <row r="6" spans="2:103" ht="12.75" hidden="1" customHeight="1" outlineLevel="1" x14ac:dyDescent="0.2">
      <c r="B6" s="2" t="s">
        <v>3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  <c r="BI6" s="2"/>
      <c r="BJ6" s="2"/>
      <c r="BK6" s="2"/>
      <c r="BL6" s="2"/>
      <c r="BM6" s="2"/>
      <c r="BN6" s="2"/>
      <c r="BO6" s="2"/>
      <c r="BP6" s="2"/>
      <c r="BQ6" s="2"/>
      <c r="BR6" s="2"/>
      <c r="BS6" s="2"/>
      <c r="BT6" s="2"/>
      <c r="BU6" s="2"/>
      <c r="BV6" s="2"/>
      <c r="BW6" s="2"/>
      <c r="BX6" s="2"/>
      <c r="BY6" s="2"/>
      <c r="BZ6" s="2"/>
      <c r="CA6" s="2"/>
      <c r="CB6" s="2"/>
      <c r="CC6" s="2"/>
      <c r="CD6" s="2"/>
      <c r="CE6" s="2"/>
      <c r="CF6" s="2"/>
      <c r="CG6" s="2"/>
      <c r="CH6" s="2"/>
      <c r="CI6" s="2"/>
      <c r="CJ6" s="2"/>
      <c r="CK6" s="2"/>
      <c r="CL6" s="2"/>
      <c r="CM6" s="2"/>
      <c r="CN6" s="2"/>
      <c r="CO6" s="2"/>
      <c r="CQ6" s="2"/>
    </row>
    <row r="7" spans="2:103" ht="12.75" hidden="1" customHeight="1" outlineLevel="1" x14ac:dyDescent="0.2">
      <c r="B7" s="2" t="s">
        <v>4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2"/>
      <c r="BJ7" s="2"/>
      <c r="BK7" s="2"/>
      <c r="BL7" s="2"/>
      <c r="BM7" s="2"/>
      <c r="BN7" s="2"/>
      <c r="BO7" s="2"/>
      <c r="BP7" s="2"/>
      <c r="BQ7" s="2"/>
      <c r="BR7" s="2"/>
      <c r="BS7" s="2"/>
      <c r="BT7" s="2"/>
      <c r="BU7" s="2"/>
      <c r="BV7" s="2"/>
      <c r="BW7" s="2"/>
      <c r="BX7" s="2"/>
      <c r="BY7" s="2"/>
      <c r="BZ7" s="2"/>
      <c r="CA7" s="2"/>
      <c r="CB7" s="2"/>
      <c r="CC7" s="2"/>
      <c r="CD7" s="2"/>
      <c r="CE7" s="2"/>
      <c r="CF7" s="2"/>
      <c r="CG7" s="2"/>
      <c r="CH7" s="2"/>
      <c r="CI7" s="2"/>
      <c r="CJ7" s="2"/>
      <c r="CK7" s="2"/>
      <c r="CL7" s="2"/>
      <c r="CM7" s="2"/>
      <c r="CN7" s="2"/>
      <c r="CO7" s="2"/>
      <c r="CQ7" s="2"/>
    </row>
    <row r="8" spans="2:103" ht="12.75" hidden="1" customHeight="1" outlineLevel="1" x14ac:dyDescent="0.2">
      <c r="B8" s="2" t="s">
        <v>5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  <c r="BH8" s="2"/>
      <c r="BI8" s="2"/>
      <c r="BJ8" s="2"/>
      <c r="BK8" s="2"/>
      <c r="BL8" s="2"/>
      <c r="BM8" s="2"/>
      <c r="BN8" s="2"/>
      <c r="BO8" s="2"/>
      <c r="BP8" s="2"/>
      <c r="BQ8" s="2"/>
      <c r="BR8" s="2"/>
      <c r="BS8" s="2"/>
      <c r="BT8" s="2"/>
      <c r="BU8" s="2"/>
      <c r="BV8" s="2"/>
      <c r="BW8" s="2"/>
      <c r="BX8" s="2"/>
      <c r="BY8" s="2"/>
      <c r="BZ8" s="2"/>
      <c r="CA8" s="2"/>
      <c r="CB8" s="2"/>
      <c r="CC8" s="2"/>
      <c r="CD8" s="2"/>
      <c r="CE8" s="2"/>
      <c r="CF8" s="2"/>
      <c r="CG8" s="2"/>
      <c r="CH8" s="2"/>
      <c r="CI8" s="2"/>
      <c r="CJ8" s="2"/>
      <c r="CK8" s="2"/>
      <c r="CL8" s="2"/>
      <c r="CM8" s="2"/>
      <c r="CN8" s="2"/>
      <c r="CO8" s="2"/>
      <c r="CQ8" s="2"/>
    </row>
    <row r="9" spans="2:103" ht="12.75" hidden="1" customHeight="1" outlineLevel="1" x14ac:dyDescent="0.2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  <c r="BE9" s="2"/>
      <c r="BF9" s="2"/>
      <c r="BG9" s="2"/>
      <c r="BH9" s="2"/>
      <c r="BI9" s="2"/>
      <c r="BJ9" s="2"/>
      <c r="BK9" s="2"/>
      <c r="BL9" s="2"/>
      <c r="BM9" s="2"/>
      <c r="BN9" s="2"/>
      <c r="BO9" s="2"/>
      <c r="BP9" s="2"/>
      <c r="BQ9" s="2"/>
      <c r="BR9" s="2"/>
      <c r="BS9" s="2"/>
      <c r="BT9" s="2"/>
      <c r="BU9" s="2"/>
      <c r="BV9" s="2"/>
      <c r="BW9" s="2"/>
      <c r="BX9" s="2"/>
      <c r="BY9" s="2"/>
      <c r="BZ9" s="2"/>
      <c r="CA9" s="2"/>
      <c r="CB9" s="2"/>
      <c r="CC9" s="2"/>
      <c r="CD9" s="2"/>
      <c r="CE9" s="2"/>
      <c r="CF9" s="2"/>
      <c r="CG9" s="2"/>
      <c r="CH9" s="2"/>
      <c r="CI9" s="2"/>
      <c r="CJ9" s="2"/>
      <c r="CK9" s="2"/>
      <c r="CL9" s="2"/>
      <c r="CM9" s="2"/>
      <c r="CN9" s="2"/>
      <c r="CO9" s="2"/>
      <c r="CQ9" s="2"/>
    </row>
    <row r="10" spans="2:103" ht="12.75" hidden="1" customHeight="1" outlineLevel="1" x14ac:dyDescent="0.2"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  <c r="BE10" s="2"/>
      <c r="BF10" s="2"/>
      <c r="BG10" s="2"/>
      <c r="BH10" s="2"/>
      <c r="BI10" s="2"/>
      <c r="BJ10" s="2"/>
      <c r="BK10" s="2"/>
      <c r="BL10" s="2"/>
      <c r="BM10" s="2"/>
      <c r="BN10" s="2"/>
      <c r="BO10" s="2"/>
      <c r="BP10" s="2"/>
      <c r="BQ10" s="2"/>
      <c r="BR10" s="2"/>
      <c r="BS10" s="2"/>
      <c r="BT10" s="2"/>
      <c r="BU10" s="2"/>
      <c r="BV10" s="2"/>
      <c r="BW10" s="2"/>
      <c r="BX10" s="2"/>
      <c r="BY10" s="2"/>
      <c r="BZ10" s="2"/>
      <c r="CA10" s="2"/>
      <c r="CB10" s="2"/>
      <c r="CC10" s="2"/>
      <c r="CD10" s="2"/>
      <c r="CE10" s="2"/>
      <c r="CF10" s="2"/>
      <c r="CG10" s="2"/>
      <c r="CH10" s="2"/>
      <c r="CI10" s="2"/>
      <c r="CJ10" s="2"/>
      <c r="CK10" s="2"/>
      <c r="CL10" s="2"/>
      <c r="CM10" s="2"/>
      <c r="CN10" s="2"/>
      <c r="CO10" s="2"/>
      <c r="CQ10" s="2"/>
      <c r="CR10" s="8" t="s">
        <v>6</v>
      </c>
      <c r="CS10" s="9"/>
    </row>
    <row r="11" spans="2:103" s="77" customFormat="1" ht="25.5" hidden="1" customHeight="1" outlineLevel="1" x14ac:dyDescent="0.2">
      <c r="B11" s="75"/>
      <c r="C11" s="75"/>
      <c r="D11" s="75"/>
      <c r="E11" s="76"/>
      <c r="CR11" s="78" t="s">
        <v>7</v>
      </c>
      <c r="CS11" s="79" t="s">
        <v>8</v>
      </c>
    </row>
    <row r="12" spans="2:103" ht="12.75" hidden="1" customHeight="1" outlineLevel="1" x14ac:dyDescent="0.2"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  <c r="BE12" s="2"/>
      <c r="BF12" s="2"/>
      <c r="BG12" s="2"/>
      <c r="BH12" s="2"/>
      <c r="BI12" s="2"/>
      <c r="BJ12" s="2"/>
      <c r="BK12" s="2"/>
      <c r="BL12" s="2"/>
      <c r="BM12" s="2"/>
      <c r="BN12" s="2"/>
      <c r="BO12" s="2"/>
      <c r="BP12" s="2"/>
      <c r="BQ12" s="2"/>
      <c r="BR12" s="2"/>
      <c r="BS12" s="2"/>
      <c r="BT12" s="2"/>
      <c r="BU12" s="2"/>
      <c r="BV12" s="2"/>
      <c r="BW12" s="2"/>
      <c r="BX12" s="2"/>
      <c r="BY12" s="2"/>
      <c r="BZ12" s="2"/>
      <c r="CA12" s="2"/>
      <c r="CB12" s="2"/>
      <c r="CC12" s="2"/>
      <c r="CD12" s="2"/>
      <c r="CE12" s="2"/>
      <c r="CF12" s="2"/>
      <c r="CG12" s="2"/>
      <c r="CH12" s="2"/>
      <c r="CI12" s="2"/>
      <c r="CJ12" s="2"/>
      <c r="CK12" s="2"/>
      <c r="CL12" s="2"/>
      <c r="CM12" s="2"/>
      <c r="CN12" s="2"/>
      <c r="CO12" s="2"/>
      <c r="CQ12" s="2"/>
      <c r="CR12" s="10">
        <v>4</v>
      </c>
      <c r="CS12" s="11">
        <v>1</v>
      </c>
    </row>
    <row r="13" spans="2:103" ht="12.75" hidden="1" customHeight="1" outlineLevel="1" x14ac:dyDescent="0.2"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  <c r="BE13" s="2"/>
      <c r="BF13" s="2"/>
      <c r="BG13" s="2"/>
      <c r="BH13" s="2"/>
      <c r="BI13" s="2"/>
      <c r="BJ13" s="2"/>
      <c r="BK13" s="2"/>
      <c r="BL13" s="2"/>
      <c r="BM13" s="2"/>
      <c r="BN13" s="2"/>
      <c r="BO13" s="2"/>
      <c r="BP13" s="2"/>
      <c r="BQ13" s="2"/>
      <c r="BR13" s="2"/>
      <c r="BS13" s="2"/>
      <c r="BT13" s="2"/>
      <c r="BU13" s="2"/>
      <c r="BV13" s="2"/>
      <c r="BW13" s="2"/>
      <c r="BX13" s="2"/>
      <c r="BY13" s="2"/>
      <c r="BZ13" s="2"/>
      <c r="CA13" s="2"/>
      <c r="CB13" s="2"/>
      <c r="CC13" s="2"/>
      <c r="CD13" s="2"/>
      <c r="CE13" s="2"/>
      <c r="CF13" s="2"/>
      <c r="CG13" s="2"/>
      <c r="CH13" s="2"/>
      <c r="CI13" s="2"/>
      <c r="CJ13" s="2"/>
      <c r="CK13" s="2"/>
      <c r="CL13" s="2"/>
      <c r="CM13" s="2"/>
      <c r="CN13" s="2"/>
      <c r="CO13" s="2"/>
      <c r="CQ13" s="2"/>
      <c r="CR13" s="12">
        <f t="shared" ref="CR13:CR18" si="0">+CR12+1</f>
        <v>5</v>
      </c>
      <c r="CS13" s="13">
        <v>2</v>
      </c>
    </row>
    <row r="14" spans="2:103" ht="12.75" hidden="1" customHeight="1" outlineLevel="1" x14ac:dyDescent="0.2"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  <c r="BE14" s="2"/>
      <c r="BF14" s="2"/>
      <c r="BG14" s="2"/>
      <c r="BH14" s="2"/>
      <c r="BI14" s="2"/>
      <c r="BJ14" s="2"/>
      <c r="BK14" s="2"/>
      <c r="BL14" s="2"/>
      <c r="BM14" s="2"/>
      <c r="BN14" s="2"/>
      <c r="BO14" s="2"/>
      <c r="BP14" s="2"/>
      <c r="BQ14" s="2"/>
      <c r="BR14" s="2"/>
      <c r="BS14" s="2"/>
      <c r="BT14" s="2"/>
      <c r="BU14" s="2"/>
      <c r="BV14" s="2"/>
      <c r="BW14" s="2"/>
      <c r="BX14" s="2"/>
      <c r="BY14" s="2"/>
      <c r="BZ14" s="2"/>
      <c r="CA14" s="2"/>
      <c r="CB14" s="2"/>
      <c r="CC14" s="2"/>
      <c r="CD14" s="2"/>
      <c r="CE14" s="2"/>
      <c r="CF14" s="2"/>
      <c r="CG14" s="2"/>
      <c r="CH14" s="2"/>
      <c r="CI14" s="2"/>
      <c r="CJ14" s="2"/>
      <c r="CK14" s="2"/>
      <c r="CL14" s="2"/>
      <c r="CM14" s="2"/>
      <c r="CN14" s="2"/>
      <c r="CO14" s="2"/>
      <c r="CQ14" s="2"/>
      <c r="CR14" s="12">
        <f t="shared" si="0"/>
        <v>6</v>
      </c>
      <c r="CS14" s="13">
        <v>2</v>
      </c>
    </row>
    <row r="15" spans="2:103" ht="12.75" hidden="1" customHeight="1" outlineLevel="1" x14ac:dyDescent="0.2"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  <c r="BE15" s="2"/>
      <c r="BF15" s="2"/>
      <c r="BG15" s="2"/>
      <c r="BH15" s="2"/>
      <c r="BI15" s="2"/>
      <c r="BJ15" s="2"/>
      <c r="BK15" s="2"/>
      <c r="BL15" s="2"/>
      <c r="BM15" s="2"/>
      <c r="BN15" s="2"/>
      <c r="BO15" s="2"/>
      <c r="BP15" s="2"/>
      <c r="BQ15" s="2"/>
      <c r="BR15" s="2"/>
      <c r="BS15" s="2"/>
      <c r="BT15" s="2"/>
      <c r="BU15" s="2"/>
      <c r="BV15" s="2"/>
      <c r="BW15" s="2"/>
      <c r="BX15" s="2"/>
      <c r="BY15" s="2"/>
      <c r="BZ15" s="2"/>
      <c r="CA15" s="2"/>
      <c r="CB15" s="2"/>
      <c r="CC15" s="2"/>
      <c r="CD15" s="2"/>
      <c r="CE15" s="2"/>
      <c r="CF15" s="2"/>
      <c r="CG15" s="2"/>
      <c r="CH15" s="2"/>
      <c r="CI15" s="2"/>
      <c r="CJ15" s="2"/>
      <c r="CK15" s="2"/>
      <c r="CL15" s="2"/>
      <c r="CM15" s="2"/>
      <c r="CN15" s="2"/>
      <c r="CO15" s="2"/>
      <c r="CQ15" s="2"/>
      <c r="CR15" s="12">
        <f t="shared" si="0"/>
        <v>7</v>
      </c>
      <c r="CS15" s="13">
        <v>3</v>
      </c>
    </row>
    <row r="16" spans="2:103" ht="12.75" hidden="1" customHeight="1" outlineLevel="1" x14ac:dyDescent="0.2"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  <c r="BE16" s="2"/>
      <c r="BF16" s="2"/>
      <c r="BG16" s="2"/>
      <c r="BH16" s="2"/>
      <c r="BI16" s="2"/>
      <c r="BJ16" s="2"/>
      <c r="BK16" s="2"/>
      <c r="BL16" s="2"/>
      <c r="BM16" s="2"/>
      <c r="BN16" s="2"/>
      <c r="BO16" s="2"/>
      <c r="BP16" s="2"/>
      <c r="BQ16" s="2"/>
      <c r="BR16" s="2"/>
      <c r="BS16" s="2"/>
      <c r="BT16" s="2"/>
      <c r="BU16" s="2"/>
      <c r="BV16" s="2"/>
      <c r="BW16" s="2"/>
      <c r="BX16" s="2"/>
      <c r="BY16" s="2"/>
      <c r="BZ16" s="2"/>
      <c r="CA16" s="2"/>
      <c r="CB16" s="2"/>
      <c r="CC16" s="2"/>
      <c r="CD16" s="2"/>
      <c r="CE16" s="2"/>
      <c r="CF16" s="2"/>
      <c r="CG16" s="2"/>
      <c r="CH16" s="2"/>
      <c r="CI16" s="2"/>
      <c r="CJ16" s="2"/>
      <c r="CK16" s="2"/>
      <c r="CL16" s="2"/>
      <c r="CM16" s="2"/>
      <c r="CN16" s="2"/>
      <c r="CO16" s="2"/>
      <c r="CQ16" s="2"/>
      <c r="CR16" s="12">
        <f t="shared" si="0"/>
        <v>8</v>
      </c>
      <c r="CS16" s="13">
        <v>3</v>
      </c>
    </row>
    <row r="17" spans="2:102" ht="12.75" hidden="1" customHeight="1" outlineLevel="1" x14ac:dyDescent="0.2"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  <c r="BE17" s="2"/>
      <c r="BF17" s="2"/>
      <c r="BG17" s="2"/>
      <c r="BH17" s="2"/>
      <c r="BI17" s="2"/>
      <c r="BJ17" s="2"/>
      <c r="BK17" s="2"/>
      <c r="BL17" s="2"/>
      <c r="BM17" s="2"/>
      <c r="BN17" s="2"/>
      <c r="BO17" s="2"/>
      <c r="BP17" s="2"/>
      <c r="BQ17" s="2"/>
      <c r="BR17" s="2"/>
      <c r="BS17" s="2"/>
      <c r="BT17" s="2"/>
      <c r="BU17" s="2"/>
      <c r="BV17" s="2"/>
      <c r="BW17" s="2"/>
      <c r="BX17" s="2"/>
      <c r="BY17" s="2"/>
      <c r="BZ17" s="2"/>
      <c r="CA17" s="2"/>
      <c r="CB17" s="2"/>
      <c r="CC17" s="2"/>
      <c r="CD17" s="2"/>
      <c r="CE17" s="2"/>
      <c r="CF17" s="2"/>
      <c r="CG17" s="2"/>
      <c r="CH17" s="2"/>
      <c r="CI17" s="2"/>
      <c r="CJ17" s="2"/>
      <c r="CK17" s="2"/>
      <c r="CL17" s="2"/>
      <c r="CM17" s="2"/>
      <c r="CN17" s="2"/>
      <c r="CO17" s="2"/>
      <c r="CQ17" s="2"/>
      <c r="CR17" s="12">
        <f t="shared" si="0"/>
        <v>9</v>
      </c>
      <c r="CS17" s="13">
        <v>4</v>
      </c>
    </row>
    <row r="18" spans="2:102" ht="12.75" hidden="1" customHeight="1" outlineLevel="1" x14ac:dyDescent="0.2"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  <c r="BE18" s="2"/>
      <c r="BF18" s="2"/>
      <c r="BG18" s="2"/>
      <c r="BH18" s="2"/>
      <c r="BI18" s="2"/>
      <c r="BJ18" s="2"/>
      <c r="BK18" s="2"/>
      <c r="BL18" s="2"/>
      <c r="BM18" s="2"/>
      <c r="BN18" s="2"/>
      <c r="BO18" s="2"/>
      <c r="BP18" s="2"/>
      <c r="BQ18" s="2"/>
      <c r="BR18" s="2"/>
      <c r="BS18" s="2"/>
      <c r="BT18" s="2"/>
      <c r="BU18" s="2"/>
      <c r="BV18" s="2"/>
      <c r="BW18" s="2"/>
      <c r="BX18" s="2"/>
      <c r="BY18" s="2"/>
      <c r="BZ18" s="2"/>
      <c r="CA18" s="2"/>
      <c r="CB18" s="2"/>
      <c r="CC18" s="2"/>
      <c r="CD18" s="2"/>
      <c r="CE18" s="2"/>
      <c r="CF18" s="2"/>
      <c r="CG18" s="2"/>
      <c r="CH18" s="2"/>
      <c r="CI18" s="2"/>
      <c r="CJ18" s="2"/>
      <c r="CK18" s="2"/>
      <c r="CL18" s="2"/>
      <c r="CM18" s="2"/>
      <c r="CN18" s="2"/>
      <c r="CO18" s="2"/>
      <c r="CQ18" s="2"/>
      <c r="CR18" s="14">
        <f t="shared" si="0"/>
        <v>10</v>
      </c>
      <c r="CS18" s="15">
        <v>4</v>
      </c>
    </row>
    <row r="19" spans="2:102" ht="12.75" hidden="1" customHeight="1" outlineLevel="1" x14ac:dyDescent="0.2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  <c r="BE19" s="2"/>
      <c r="BF19" s="2"/>
      <c r="BG19" s="2"/>
      <c r="BH19" s="2"/>
      <c r="BI19" s="2"/>
      <c r="BJ19" s="2"/>
      <c r="BK19" s="2"/>
      <c r="BL19" s="2"/>
      <c r="BM19" s="2"/>
      <c r="BN19" s="2"/>
      <c r="BO19" s="2"/>
      <c r="BP19" s="2"/>
      <c r="BQ19" s="2"/>
      <c r="BR19" s="2"/>
      <c r="BS19" s="2"/>
      <c r="BT19" s="2"/>
      <c r="BU19" s="2"/>
      <c r="BV19" s="2"/>
      <c r="BW19" s="2"/>
      <c r="BX19" s="2"/>
      <c r="BY19" s="2"/>
      <c r="BZ19" s="2"/>
      <c r="CA19" s="2"/>
      <c r="CB19" s="2"/>
      <c r="CC19" s="2"/>
      <c r="CD19" s="2"/>
      <c r="CE19" s="2"/>
      <c r="CF19" s="2"/>
      <c r="CG19" s="2"/>
      <c r="CH19" s="2"/>
      <c r="CI19" s="2"/>
      <c r="CJ19" s="2"/>
      <c r="CK19" s="2"/>
      <c r="CL19" s="2"/>
      <c r="CM19" s="2"/>
      <c r="CN19" s="2"/>
      <c r="CO19" s="2"/>
      <c r="CQ19" s="2"/>
    </row>
    <row r="20" spans="2:102" ht="12.75" customHeight="1" collapsed="1" x14ac:dyDescent="0.2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  <c r="BE20" s="2"/>
      <c r="BF20" s="2"/>
      <c r="BG20" s="2"/>
      <c r="BH20" s="2"/>
      <c r="BI20" s="2"/>
      <c r="BJ20" s="2"/>
      <c r="BK20" s="2"/>
      <c r="BL20" s="2"/>
      <c r="BM20" s="2"/>
      <c r="BN20" s="2"/>
      <c r="BO20" s="2"/>
      <c r="BP20" s="2"/>
      <c r="BQ20" s="2"/>
      <c r="BR20" s="2"/>
      <c r="BS20" s="2"/>
      <c r="BT20" s="2"/>
      <c r="BU20" s="2"/>
      <c r="BV20" s="2"/>
      <c r="BW20" s="2"/>
      <c r="BX20" s="2"/>
      <c r="BY20" s="2"/>
      <c r="BZ20" s="2"/>
      <c r="CA20" s="2"/>
      <c r="CB20" s="2"/>
      <c r="CC20" s="2"/>
      <c r="CD20" s="2"/>
      <c r="CE20" s="2"/>
      <c r="CF20" s="2"/>
      <c r="CG20" s="2"/>
      <c r="CH20" s="2"/>
      <c r="CI20" s="2"/>
      <c r="CJ20" s="2"/>
      <c r="CK20" s="2"/>
      <c r="CL20" s="2"/>
      <c r="CM20" s="2"/>
      <c r="CN20" s="2"/>
      <c r="CO20" s="2"/>
      <c r="CQ20" s="2"/>
    </row>
    <row r="21" spans="2:102" ht="12.75" customHeight="1" x14ac:dyDescent="0.2">
      <c r="B21" s="5" t="s">
        <v>9</v>
      </c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16"/>
      <c r="CU21" s="16"/>
      <c r="CV21" s="16"/>
      <c r="CW21" s="16"/>
      <c r="CX21" s="16"/>
    </row>
    <row r="22" spans="2:102" ht="12.75" customHeight="1" x14ac:dyDescent="0.2"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  <c r="AK22" s="4"/>
      <c r="AL22" s="4"/>
      <c r="AM22" s="4"/>
      <c r="AN22" s="4"/>
      <c r="AO22" s="4"/>
      <c r="AP22" s="4"/>
      <c r="AQ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4"/>
      <c r="BC22" s="4"/>
      <c r="BD22" s="4"/>
      <c r="BE22" s="4"/>
      <c r="BF22" s="4"/>
      <c r="BG22" s="4"/>
      <c r="BH22" s="4"/>
      <c r="BI22" s="4"/>
      <c r="BJ22" s="4"/>
      <c r="BK22" s="4"/>
      <c r="BL22" s="4"/>
      <c r="BM22" s="4"/>
      <c r="BN22" s="4"/>
      <c r="BO22" s="4"/>
      <c r="BP22" s="4"/>
      <c r="BQ22" s="4"/>
      <c r="BR22" s="4"/>
      <c r="BS22" s="4"/>
      <c r="BT22" s="4"/>
      <c r="BU22" s="4"/>
      <c r="BV22" s="4"/>
      <c r="BW22" s="4"/>
      <c r="BX22" s="4"/>
      <c r="BY22" s="4"/>
      <c r="BZ22" s="4"/>
      <c r="CA22" s="4"/>
      <c r="CB22" s="4"/>
      <c r="CC22" s="4"/>
      <c r="CD22" s="4"/>
      <c r="CE22" s="4"/>
      <c r="CF22" s="4"/>
      <c r="CG22" s="4"/>
      <c r="CH22" s="4"/>
      <c r="CI22" s="4"/>
      <c r="CJ22" s="4"/>
      <c r="CK22" s="4"/>
      <c r="CL22" s="4"/>
      <c r="CM22" s="4"/>
      <c r="CN22" s="4"/>
      <c r="CO22" s="4"/>
      <c r="CP22" s="4"/>
      <c r="CQ22" s="4"/>
      <c r="CR22" s="4"/>
      <c r="CS22" s="4"/>
      <c r="CT22" s="4"/>
      <c r="CU22" s="4"/>
      <c r="CV22" s="4"/>
      <c r="CW22" s="4"/>
      <c r="CX22" s="4"/>
    </row>
    <row r="23" spans="2:102" s="20" customFormat="1" ht="12.75" customHeight="1" x14ac:dyDescent="0.2">
      <c r="B23" s="17" t="s">
        <v>10</v>
      </c>
      <c r="C23" s="17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  <c r="AA23" s="18"/>
      <c r="AB23" s="18"/>
      <c r="AC23" s="18"/>
      <c r="AD23" s="18"/>
      <c r="AE23" s="18"/>
      <c r="AF23" s="18"/>
      <c r="AG23" s="18"/>
      <c r="AH23" s="18"/>
      <c r="AI23" s="18"/>
      <c r="AJ23" s="18"/>
      <c r="AK23" s="18"/>
      <c r="AL23" s="18"/>
      <c r="AM23" s="18"/>
      <c r="AN23" s="18"/>
      <c r="AO23" s="18"/>
      <c r="AP23" s="18"/>
      <c r="AQ23" s="18"/>
      <c r="AR23" s="18"/>
      <c r="AS23" s="18"/>
      <c r="AT23" s="18"/>
      <c r="AU23" s="18"/>
      <c r="AV23" s="18"/>
      <c r="AW23" s="18"/>
      <c r="AX23" s="18"/>
      <c r="AY23" s="18"/>
      <c r="AZ23" s="18"/>
      <c r="BA23" s="18"/>
      <c r="BB23" s="18"/>
      <c r="BC23" s="18"/>
      <c r="BD23" s="18"/>
      <c r="BE23" s="18"/>
      <c r="BF23" s="18"/>
      <c r="BG23" s="18"/>
      <c r="BH23" s="18"/>
      <c r="BI23" s="18"/>
      <c r="BJ23" s="18"/>
      <c r="BK23" s="18"/>
      <c r="BL23" s="18"/>
      <c r="BM23" s="18"/>
      <c r="BN23" s="18"/>
      <c r="BO23" s="18"/>
      <c r="BP23" s="18"/>
      <c r="BQ23" s="18"/>
      <c r="BR23" s="18"/>
      <c r="BS23" s="18"/>
      <c r="BT23" s="18"/>
      <c r="BU23" s="18"/>
      <c r="BV23" s="18"/>
      <c r="BW23" s="18"/>
      <c r="BX23" s="18"/>
      <c r="BY23" s="18"/>
      <c r="BZ23" s="18"/>
      <c r="CA23" s="18"/>
      <c r="CB23" s="18"/>
      <c r="CC23" s="18"/>
      <c r="CD23" s="18"/>
      <c r="CE23" s="18"/>
      <c r="CF23" s="18"/>
      <c r="CG23" s="18"/>
      <c r="CH23" s="18"/>
      <c r="CI23" s="18"/>
      <c r="CJ23" s="18"/>
      <c r="CK23" s="18"/>
      <c r="CL23" s="18"/>
      <c r="CM23" s="18"/>
      <c r="CN23" s="18"/>
      <c r="CO23" s="18"/>
      <c r="CP23" s="17"/>
      <c r="CQ23" s="19"/>
      <c r="CR23" s="17" t="s">
        <v>11</v>
      </c>
      <c r="CS23" s="18"/>
      <c r="CT23" s="18"/>
      <c r="CU23" s="18"/>
      <c r="CV23" s="18"/>
      <c r="CW23" s="18"/>
      <c r="CX23" s="18"/>
    </row>
    <row r="24" spans="2:102" ht="12.75" customHeight="1" x14ac:dyDescent="0.2"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  <c r="AL24" s="4"/>
      <c r="AM24" s="4"/>
      <c r="AN24" s="4"/>
      <c r="AO24" s="4"/>
      <c r="AP24" s="4"/>
      <c r="AQ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4"/>
      <c r="BC24" s="4"/>
      <c r="BD24" s="4"/>
      <c r="BE24" s="4"/>
      <c r="BF24" s="4"/>
      <c r="BG24" s="4"/>
      <c r="BH24" s="4"/>
      <c r="BI24" s="4"/>
      <c r="BJ24" s="4"/>
      <c r="BK24" s="4"/>
      <c r="BL24" s="4"/>
      <c r="BM24" s="4"/>
      <c r="BN24" s="4"/>
      <c r="BO24" s="4"/>
      <c r="BP24" s="4"/>
      <c r="BQ24" s="4"/>
      <c r="BR24" s="4"/>
      <c r="BS24" s="4"/>
      <c r="BT24" s="4"/>
      <c r="BU24" s="4"/>
      <c r="BV24" s="4"/>
      <c r="BW24" s="4"/>
      <c r="BX24" s="4"/>
      <c r="BY24" s="4"/>
      <c r="BZ24" s="4"/>
      <c r="CA24" s="4"/>
      <c r="CB24" s="4"/>
      <c r="CC24" s="4"/>
      <c r="CD24" s="4"/>
      <c r="CE24" s="4"/>
      <c r="CF24" s="4"/>
      <c r="CG24" s="4"/>
      <c r="CH24" s="4"/>
      <c r="CI24" s="4"/>
      <c r="CJ24" s="4"/>
      <c r="CK24" s="4"/>
      <c r="CL24" s="4"/>
      <c r="CM24" s="4"/>
      <c r="CN24" s="4"/>
      <c r="CO24" s="4"/>
      <c r="CP24" s="4"/>
      <c r="CQ24" s="4"/>
      <c r="CR24" s="4"/>
      <c r="CS24" s="4"/>
      <c r="CT24" s="4"/>
      <c r="CU24" s="4"/>
      <c r="CV24" s="4"/>
      <c r="CW24" s="4"/>
      <c r="CX24" s="4"/>
    </row>
    <row r="25" spans="2:102" s="24" customFormat="1" ht="12.75" customHeight="1" x14ac:dyDescent="0.2">
      <c r="B25" s="21"/>
      <c r="C25" s="21" t="s">
        <v>12</v>
      </c>
      <c r="D25" s="22">
        <f>+D69</f>
        <v>1</v>
      </c>
      <c r="E25" s="22">
        <f t="shared" ref="E25:U25" si="1">+E69</f>
        <v>2</v>
      </c>
      <c r="F25" s="22">
        <f t="shared" si="1"/>
        <v>3</v>
      </c>
      <c r="G25" s="22">
        <f>+G69</f>
        <v>4</v>
      </c>
      <c r="H25" s="22">
        <f t="shared" si="1"/>
        <v>5</v>
      </c>
      <c r="I25" s="22">
        <f t="shared" si="1"/>
        <v>6</v>
      </c>
      <c r="J25" s="22">
        <f t="shared" si="1"/>
        <v>7</v>
      </c>
      <c r="K25" s="22">
        <f t="shared" si="1"/>
        <v>8</v>
      </c>
      <c r="L25" s="22">
        <f t="shared" si="1"/>
        <v>9</v>
      </c>
      <c r="M25" s="22">
        <f t="shared" si="1"/>
        <v>10</v>
      </c>
      <c r="N25" s="22">
        <f t="shared" si="1"/>
        <v>11</v>
      </c>
      <c r="O25" s="22">
        <f t="shared" si="1"/>
        <v>12</v>
      </c>
      <c r="P25" s="22">
        <f t="shared" si="1"/>
        <v>13</v>
      </c>
      <c r="Q25" s="22">
        <f t="shared" si="1"/>
        <v>14</v>
      </c>
      <c r="R25" s="22">
        <f t="shared" si="1"/>
        <v>15</v>
      </c>
      <c r="S25" s="22">
        <f t="shared" si="1"/>
        <v>16</v>
      </c>
      <c r="T25" s="22">
        <f t="shared" si="1"/>
        <v>17</v>
      </c>
      <c r="U25" s="22">
        <f t="shared" si="1"/>
        <v>18</v>
      </c>
      <c r="V25" s="22">
        <f t="shared" ref="V25:AC25" si="2">+V69</f>
        <v>19</v>
      </c>
      <c r="W25" s="22">
        <f t="shared" si="2"/>
        <v>20</v>
      </c>
      <c r="X25" s="22">
        <f t="shared" si="2"/>
        <v>21</v>
      </c>
      <c r="Y25" s="22">
        <f t="shared" si="2"/>
        <v>22</v>
      </c>
      <c r="Z25" s="22">
        <f t="shared" si="2"/>
        <v>23</v>
      </c>
      <c r="AA25" s="22">
        <f t="shared" si="2"/>
        <v>24</v>
      </c>
      <c r="AB25" s="22">
        <f t="shared" si="2"/>
        <v>25</v>
      </c>
      <c r="AC25" s="22">
        <f t="shared" si="2"/>
        <v>26</v>
      </c>
      <c r="AD25" s="22">
        <f t="shared" ref="AD25:AE25" si="3">+AD69</f>
        <v>27</v>
      </c>
      <c r="AE25" s="22">
        <f t="shared" si="3"/>
        <v>28</v>
      </c>
      <c r="AF25" s="22">
        <f t="shared" ref="AF25:AG25" si="4">+AF69</f>
        <v>29</v>
      </c>
      <c r="AG25" s="22">
        <f t="shared" si="4"/>
        <v>30</v>
      </c>
      <c r="AH25" s="22">
        <f t="shared" ref="AH25:AI25" si="5">+AH69</f>
        <v>31</v>
      </c>
      <c r="AI25" s="22">
        <f t="shared" si="5"/>
        <v>32</v>
      </c>
      <c r="AJ25" s="22">
        <f t="shared" ref="AJ25:AK25" si="6">+AJ69</f>
        <v>33</v>
      </c>
      <c r="AK25" s="22">
        <f t="shared" si="6"/>
        <v>34</v>
      </c>
      <c r="AL25" s="22">
        <f t="shared" ref="AL25:AM25" si="7">+AL69</f>
        <v>35</v>
      </c>
      <c r="AM25" s="22">
        <f t="shared" si="7"/>
        <v>36</v>
      </c>
      <c r="AN25" s="22">
        <f t="shared" ref="AN25:AO25" si="8">+AN69</f>
        <v>37</v>
      </c>
      <c r="AO25" s="22">
        <f t="shared" si="8"/>
        <v>38</v>
      </c>
      <c r="AP25" s="22">
        <f t="shared" ref="AP25:AQ25" si="9">+AP69</f>
        <v>39</v>
      </c>
      <c r="AQ25" s="22">
        <f t="shared" si="9"/>
        <v>40</v>
      </c>
      <c r="AR25" s="22">
        <f>+AR69</f>
        <v>41</v>
      </c>
      <c r="AS25" s="22">
        <f>+AS69</f>
        <v>42</v>
      </c>
      <c r="AT25" s="22">
        <f t="shared" ref="AT25:AU25" si="10">+AT69</f>
        <v>43</v>
      </c>
      <c r="AU25" s="22">
        <f t="shared" si="10"/>
        <v>44</v>
      </c>
      <c r="AV25" s="22">
        <f t="shared" ref="AV25:AW25" si="11">+AV69</f>
        <v>45</v>
      </c>
      <c r="AW25" s="22">
        <f t="shared" si="11"/>
        <v>46</v>
      </c>
      <c r="AX25" s="22">
        <f t="shared" ref="AX25:AY25" si="12">+AX69</f>
        <v>47</v>
      </c>
      <c r="AY25" s="22">
        <f t="shared" si="12"/>
        <v>48</v>
      </c>
      <c r="AZ25" s="22">
        <f t="shared" ref="AZ25:BA25" si="13">+AZ69</f>
        <v>49</v>
      </c>
      <c r="BA25" s="22">
        <f t="shared" si="13"/>
        <v>50</v>
      </c>
      <c r="BB25" s="22">
        <f t="shared" ref="BB25:BC25" si="14">+BB69</f>
        <v>51</v>
      </c>
      <c r="BC25" s="22">
        <f t="shared" si="14"/>
        <v>52</v>
      </c>
      <c r="BD25" s="22">
        <f t="shared" ref="BD25:BF25" si="15">+BD69</f>
        <v>53</v>
      </c>
      <c r="BE25" s="22">
        <f t="shared" si="15"/>
        <v>54</v>
      </c>
      <c r="BF25" s="22">
        <f t="shared" si="15"/>
        <v>55</v>
      </c>
      <c r="BG25" s="22">
        <f t="shared" ref="BG25:BI25" si="16">+BG69</f>
        <v>56</v>
      </c>
      <c r="BH25" s="22">
        <f t="shared" si="16"/>
        <v>57</v>
      </c>
      <c r="BI25" s="22">
        <f t="shared" si="16"/>
        <v>58</v>
      </c>
      <c r="BJ25" s="22">
        <f t="shared" ref="BJ25:BO25" si="17">+BJ69</f>
        <v>59</v>
      </c>
      <c r="BK25" s="22">
        <f t="shared" si="17"/>
        <v>60</v>
      </c>
      <c r="BL25" s="22">
        <f t="shared" si="17"/>
        <v>61</v>
      </c>
      <c r="BM25" s="22">
        <f t="shared" si="17"/>
        <v>62</v>
      </c>
      <c r="BN25" s="22">
        <f t="shared" si="17"/>
        <v>63</v>
      </c>
      <c r="BO25" s="22">
        <f t="shared" si="17"/>
        <v>64</v>
      </c>
      <c r="BP25" s="22">
        <f t="shared" ref="BP25:BQ25" si="18">+BP69</f>
        <v>65</v>
      </c>
      <c r="BQ25" s="22">
        <f t="shared" si="18"/>
        <v>66</v>
      </c>
      <c r="BR25" s="22">
        <f t="shared" ref="BR25:BS25" si="19">+BR69</f>
        <v>67</v>
      </c>
      <c r="BS25" s="22">
        <f t="shared" si="19"/>
        <v>68</v>
      </c>
      <c r="BT25" s="22">
        <f t="shared" ref="BT25:BV25" si="20">+BT69</f>
        <v>69</v>
      </c>
      <c r="BU25" s="22">
        <f t="shared" si="20"/>
        <v>70</v>
      </c>
      <c r="BV25" s="22">
        <f t="shared" si="20"/>
        <v>71</v>
      </c>
      <c r="BW25" s="22">
        <f t="shared" ref="BW25:BX25" si="21">+BW69</f>
        <v>72</v>
      </c>
      <c r="BX25" s="22">
        <f t="shared" si="21"/>
        <v>73</v>
      </c>
      <c r="BY25" s="22">
        <f>+BY69</f>
        <v>74</v>
      </c>
      <c r="BZ25" s="22">
        <f>+BZ69</f>
        <v>75</v>
      </c>
      <c r="CA25" s="22">
        <f t="shared" ref="CA25:CB25" si="22">+CA69</f>
        <v>76</v>
      </c>
      <c r="CB25" s="22">
        <f t="shared" si="22"/>
        <v>77</v>
      </c>
      <c r="CC25" s="22">
        <f t="shared" ref="CC25:CD25" si="23">+CC69</f>
        <v>78</v>
      </c>
      <c r="CD25" s="22">
        <f t="shared" si="23"/>
        <v>79</v>
      </c>
      <c r="CE25" s="22">
        <f t="shared" ref="CE25:CF25" si="24">+CE69</f>
        <v>80</v>
      </c>
      <c r="CF25" s="22">
        <f t="shared" si="24"/>
        <v>81</v>
      </c>
      <c r="CG25" s="22">
        <f t="shared" ref="CG25:CH25" si="25">+CG69</f>
        <v>82</v>
      </c>
      <c r="CH25" s="22">
        <f t="shared" si="25"/>
        <v>83</v>
      </c>
      <c r="CI25" s="22">
        <f t="shared" ref="CI25:CJ25" si="26">+CI69</f>
        <v>84</v>
      </c>
      <c r="CJ25" s="22">
        <f t="shared" si="26"/>
        <v>85</v>
      </c>
      <c r="CK25" s="22">
        <f t="shared" ref="CK25:CL25" si="27">+CK69</f>
        <v>86</v>
      </c>
      <c r="CL25" s="22">
        <f t="shared" si="27"/>
        <v>87</v>
      </c>
      <c r="CM25" s="22">
        <f t="shared" ref="CM25:CN25" si="28">+CM69</f>
        <v>88</v>
      </c>
      <c r="CN25" s="22">
        <f t="shared" si="28"/>
        <v>89</v>
      </c>
      <c r="CO25" s="22"/>
      <c r="CP25" s="23"/>
      <c r="CQ25" s="22"/>
    </row>
    <row r="26" spans="2:102" s="24" customFormat="1" ht="12.75" customHeight="1" x14ac:dyDescent="0.2">
      <c r="B26" s="21"/>
      <c r="C26" s="21" t="s">
        <v>13</v>
      </c>
      <c r="D26" s="22">
        <f>+D70</f>
        <v>2022</v>
      </c>
      <c r="E26" s="22">
        <f>+E70</f>
        <v>2023</v>
      </c>
      <c r="F26" s="22">
        <f>+F70</f>
        <v>2023</v>
      </c>
      <c r="G26" s="22">
        <f t="shared" ref="G26:U27" si="29">+G70</f>
        <v>2023</v>
      </c>
      <c r="H26" s="22">
        <f t="shared" si="29"/>
        <v>2023</v>
      </c>
      <c r="I26" s="22">
        <f t="shared" si="29"/>
        <v>2023</v>
      </c>
      <c r="J26" s="22">
        <f t="shared" si="29"/>
        <v>2023</v>
      </c>
      <c r="K26" s="22">
        <f t="shared" si="29"/>
        <v>2023</v>
      </c>
      <c r="L26" s="22">
        <f t="shared" si="29"/>
        <v>2023</v>
      </c>
      <c r="M26" s="22">
        <f t="shared" si="29"/>
        <v>2023</v>
      </c>
      <c r="N26" s="22">
        <f t="shared" si="29"/>
        <v>2023</v>
      </c>
      <c r="O26" s="22">
        <f t="shared" si="29"/>
        <v>2023</v>
      </c>
      <c r="P26" s="22">
        <f t="shared" si="29"/>
        <v>2023</v>
      </c>
      <c r="Q26" s="22">
        <f t="shared" si="29"/>
        <v>2023</v>
      </c>
      <c r="R26" s="22">
        <f t="shared" si="29"/>
        <v>2023</v>
      </c>
      <c r="S26" s="22">
        <f t="shared" si="29"/>
        <v>2023</v>
      </c>
      <c r="T26" s="22">
        <f t="shared" si="29"/>
        <v>2023</v>
      </c>
      <c r="U26" s="22">
        <f t="shared" si="29"/>
        <v>2023</v>
      </c>
      <c r="V26" s="22">
        <f t="shared" ref="V26:W27" si="30">+V70</f>
        <v>2024</v>
      </c>
      <c r="W26" s="22">
        <f t="shared" si="30"/>
        <v>2024</v>
      </c>
      <c r="X26" s="22">
        <f t="shared" ref="X26:Y27" si="31">+X70</f>
        <v>2024</v>
      </c>
      <c r="Y26" s="22">
        <f t="shared" si="31"/>
        <v>2024</v>
      </c>
      <c r="Z26" s="22">
        <f t="shared" ref="Z26:AA27" si="32">+Z70</f>
        <v>2024</v>
      </c>
      <c r="AA26" s="22">
        <f t="shared" si="32"/>
        <v>2024</v>
      </c>
      <c r="AB26" s="22">
        <f t="shared" ref="AB26:AC26" si="33">+AB70</f>
        <v>2024</v>
      </c>
      <c r="AC26" s="22">
        <f t="shared" si="33"/>
        <v>2024</v>
      </c>
      <c r="AD26" s="22">
        <f t="shared" ref="AD26:AE26" si="34">+AD70</f>
        <v>2024</v>
      </c>
      <c r="AE26" s="22">
        <f t="shared" si="34"/>
        <v>2024</v>
      </c>
      <c r="AF26" s="22">
        <f t="shared" ref="AF26:AG26" si="35">+AF70</f>
        <v>2024</v>
      </c>
      <c r="AG26" s="22">
        <f t="shared" si="35"/>
        <v>2024</v>
      </c>
      <c r="AH26" s="22">
        <f t="shared" ref="AH26:AI26" si="36">+AH70</f>
        <v>2024</v>
      </c>
      <c r="AI26" s="22">
        <f t="shared" si="36"/>
        <v>2024</v>
      </c>
      <c r="AJ26" s="22">
        <f t="shared" ref="AJ26:AK26" si="37">+AJ70</f>
        <v>2024</v>
      </c>
      <c r="AK26" s="22">
        <f t="shared" si="37"/>
        <v>2024</v>
      </c>
      <c r="AL26" s="22">
        <f t="shared" ref="AL26:AM26" si="38">+AL70</f>
        <v>2024</v>
      </c>
      <c r="AM26" s="22">
        <f t="shared" si="38"/>
        <v>2024</v>
      </c>
      <c r="AN26" s="22">
        <f t="shared" ref="AN26:AO26" si="39">+AN70</f>
        <v>2024</v>
      </c>
      <c r="AO26" s="22">
        <f t="shared" si="39"/>
        <v>2024</v>
      </c>
      <c r="AP26" s="22">
        <f t="shared" ref="AP26:AQ26" si="40">+AP70</f>
        <v>2024</v>
      </c>
      <c r="AQ26" s="22">
        <f t="shared" si="40"/>
        <v>2024</v>
      </c>
      <c r="AR26" s="22">
        <f t="shared" ref="AR26:AS26" si="41">+AR70</f>
        <v>2024</v>
      </c>
      <c r="AS26" s="22">
        <f t="shared" si="41"/>
        <v>2024</v>
      </c>
      <c r="AT26" s="22">
        <f t="shared" ref="AT26:AU26" si="42">+AT70</f>
        <v>2024</v>
      </c>
      <c r="AU26" s="22">
        <f t="shared" si="42"/>
        <v>2024</v>
      </c>
      <c r="AV26" s="22">
        <f t="shared" ref="AV26:AW26" si="43">+AV70</f>
        <v>2024</v>
      </c>
      <c r="AW26" s="22">
        <f t="shared" si="43"/>
        <v>2024</v>
      </c>
      <c r="AX26" s="22">
        <f t="shared" ref="AX26:AY26" si="44">+AX70</f>
        <v>2024</v>
      </c>
      <c r="AY26" s="22">
        <f t="shared" si="44"/>
        <v>2024</v>
      </c>
      <c r="AZ26" s="22">
        <f t="shared" ref="AZ26:BA26" si="45">+AZ70</f>
        <v>2025</v>
      </c>
      <c r="BA26" s="22">
        <f t="shared" si="45"/>
        <v>2025</v>
      </c>
      <c r="BB26" s="22">
        <f t="shared" ref="BB26:BC26" si="46">+BB70</f>
        <v>2025</v>
      </c>
      <c r="BC26" s="22">
        <f t="shared" si="46"/>
        <v>2025</v>
      </c>
      <c r="BD26" s="22">
        <f t="shared" ref="BD26:BF26" si="47">+BD70</f>
        <v>2025</v>
      </c>
      <c r="BE26" s="22">
        <f t="shared" si="47"/>
        <v>2025</v>
      </c>
      <c r="BF26" s="22">
        <f t="shared" si="47"/>
        <v>2025</v>
      </c>
      <c r="BG26" s="22">
        <f t="shared" ref="BG26:BI26" si="48">+BG70</f>
        <v>2025</v>
      </c>
      <c r="BH26" s="22">
        <f t="shared" si="48"/>
        <v>2025</v>
      </c>
      <c r="BI26" s="22">
        <f t="shared" si="48"/>
        <v>2025</v>
      </c>
      <c r="BJ26" s="22">
        <f t="shared" ref="BJ26:BO26" si="49">+BJ70</f>
        <v>2025</v>
      </c>
      <c r="BK26" s="22">
        <f t="shared" si="49"/>
        <v>2025</v>
      </c>
      <c r="BL26" s="22">
        <f t="shared" si="49"/>
        <v>2025</v>
      </c>
      <c r="BM26" s="22">
        <f t="shared" si="49"/>
        <v>2025</v>
      </c>
      <c r="BN26" s="22">
        <f t="shared" si="49"/>
        <v>2025</v>
      </c>
      <c r="BO26" s="22">
        <f t="shared" si="49"/>
        <v>2025</v>
      </c>
      <c r="BP26" s="22">
        <f t="shared" ref="BP26:BQ26" si="50">+BP70</f>
        <v>2025</v>
      </c>
      <c r="BQ26" s="22">
        <f t="shared" si="50"/>
        <v>2025</v>
      </c>
      <c r="BR26" s="22">
        <f t="shared" ref="BR26:BS26" si="51">+BR70</f>
        <v>2025</v>
      </c>
      <c r="BS26" s="22">
        <f t="shared" si="51"/>
        <v>2025</v>
      </c>
      <c r="BT26" s="22">
        <f t="shared" ref="BT26:BV26" si="52">+BT70</f>
        <v>2025</v>
      </c>
      <c r="BU26" s="22">
        <f t="shared" si="52"/>
        <v>2025</v>
      </c>
      <c r="BV26" s="22">
        <f t="shared" si="52"/>
        <v>2025</v>
      </c>
      <c r="BW26" s="22">
        <f t="shared" ref="BW26:BX26" si="53">+BW70</f>
        <v>2025</v>
      </c>
      <c r="BX26" s="22">
        <f t="shared" si="53"/>
        <v>2025</v>
      </c>
      <c r="BY26" s="22">
        <f t="shared" ref="BY26:BZ26" si="54">+BY70</f>
        <v>2025</v>
      </c>
      <c r="BZ26" s="22">
        <f t="shared" si="54"/>
        <v>2025</v>
      </c>
      <c r="CA26" s="22">
        <f t="shared" ref="CA26:CB26" si="55">+CA70</f>
        <v>2025</v>
      </c>
      <c r="CB26" s="22">
        <f t="shared" si="55"/>
        <v>2025</v>
      </c>
      <c r="CC26" s="22">
        <f t="shared" ref="CC26:CD26" si="56">+CC70</f>
        <v>2025</v>
      </c>
      <c r="CD26" s="22">
        <f t="shared" si="56"/>
        <v>2025</v>
      </c>
      <c r="CE26" s="22">
        <f t="shared" ref="CE26:CF26" si="57">+CE70</f>
        <v>2025</v>
      </c>
      <c r="CF26" s="22">
        <f t="shared" si="57"/>
        <v>2025</v>
      </c>
      <c r="CG26" s="22">
        <f t="shared" ref="CG26:CH26" si="58">+CG70</f>
        <v>2026</v>
      </c>
      <c r="CH26" s="22">
        <f t="shared" si="58"/>
        <v>2026</v>
      </c>
      <c r="CI26" s="22">
        <f t="shared" ref="CI26:CJ26" si="59">+CI70</f>
        <v>2026</v>
      </c>
      <c r="CJ26" s="22">
        <f t="shared" si="59"/>
        <v>2026</v>
      </c>
      <c r="CK26" s="22">
        <f t="shared" ref="CK26:CL26" si="60">+CK70</f>
        <v>2026</v>
      </c>
      <c r="CL26" s="22">
        <f t="shared" si="60"/>
        <v>2026</v>
      </c>
      <c r="CM26" s="22">
        <f t="shared" ref="CM26:CN26" si="61">+CM70</f>
        <v>2026</v>
      </c>
      <c r="CN26" s="22">
        <f t="shared" si="61"/>
        <v>2026</v>
      </c>
      <c r="CO26" s="22"/>
      <c r="CP26" s="23"/>
      <c r="CQ26" s="22"/>
    </row>
    <row r="27" spans="2:102" s="73" customFormat="1" ht="25.5" customHeight="1" x14ac:dyDescent="0.2">
      <c r="B27" s="68"/>
      <c r="C27" s="68" t="s">
        <v>14</v>
      </c>
      <c r="D27" s="69">
        <f>+D71</f>
        <v>44925</v>
      </c>
      <c r="E27" s="69">
        <f>+E71</f>
        <v>44946</v>
      </c>
      <c r="F27" s="69">
        <f>+F71</f>
        <v>44974</v>
      </c>
      <c r="G27" s="69">
        <f t="shared" si="29"/>
        <v>45016</v>
      </c>
      <c r="H27" s="69">
        <f t="shared" si="29"/>
        <v>45087</v>
      </c>
      <c r="I27" s="69">
        <f t="shared" si="29"/>
        <v>45107</v>
      </c>
      <c r="J27" s="69">
        <f t="shared" si="29"/>
        <v>45114</v>
      </c>
      <c r="K27" s="69">
        <f t="shared" si="29"/>
        <v>45129</v>
      </c>
      <c r="L27" s="69">
        <f t="shared" si="29"/>
        <v>45136</v>
      </c>
      <c r="M27" s="69">
        <f t="shared" si="29"/>
        <v>45143</v>
      </c>
      <c r="N27" s="69">
        <f t="shared" si="29"/>
        <v>45156</v>
      </c>
      <c r="O27" s="69">
        <f t="shared" si="29"/>
        <v>45171</v>
      </c>
      <c r="P27" s="69">
        <f t="shared" si="29"/>
        <v>45191</v>
      </c>
      <c r="Q27" s="69">
        <f t="shared" si="29"/>
        <v>45212</v>
      </c>
      <c r="R27" s="69">
        <f t="shared" si="29"/>
        <v>45220</v>
      </c>
      <c r="S27" s="69">
        <f t="shared" si="29"/>
        <v>45233</v>
      </c>
      <c r="T27" s="69">
        <f t="shared" si="29"/>
        <v>45276</v>
      </c>
      <c r="U27" s="69">
        <f t="shared" si="29"/>
        <v>45289</v>
      </c>
      <c r="V27" s="69">
        <f t="shared" si="30"/>
        <v>45303</v>
      </c>
      <c r="W27" s="69">
        <f t="shared" si="30"/>
        <v>45325</v>
      </c>
      <c r="X27" s="69">
        <f t="shared" si="31"/>
        <v>45338</v>
      </c>
      <c r="Y27" s="69">
        <f t="shared" si="31"/>
        <v>45353</v>
      </c>
      <c r="Z27" s="69">
        <f t="shared" si="32"/>
        <v>45359</v>
      </c>
      <c r="AA27" s="69">
        <f t="shared" si="32"/>
        <v>45374</v>
      </c>
      <c r="AB27" s="69">
        <f t="shared" ref="AB27:AC27" si="62">+AB71</f>
        <v>45394</v>
      </c>
      <c r="AC27" s="69">
        <f t="shared" si="62"/>
        <v>45394</v>
      </c>
      <c r="AD27" s="69">
        <f t="shared" ref="AD27:AE27" si="63">+AD71</f>
        <v>45409</v>
      </c>
      <c r="AE27" s="69">
        <f t="shared" si="63"/>
        <v>45429</v>
      </c>
      <c r="AF27" s="69">
        <f t="shared" ref="AF27:AG27" si="64">+AF71</f>
        <v>45451</v>
      </c>
      <c r="AG27" s="69">
        <f t="shared" si="64"/>
        <v>45451</v>
      </c>
      <c r="AH27" s="69">
        <f t="shared" ref="AH27:AI27" si="65">+AH71</f>
        <v>45458</v>
      </c>
      <c r="AI27" s="69">
        <f t="shared" si="65"/>
        <v>45472</v>
      </c>
      <c r="AJ27" s="69">
        <f t="shared" ref="AJ27:AK27" si="66">+AJ71</f>
        <v>45479</v>
      </c>
      <c r="AK27" s="69">
        <f t="shared" si="66"/>
        <v>45479</v>
      </c>
      <c r="AL27" s="69">
        <f t="shared" ref="AL27:AM27" si="67">+AL71</f>
        <v>45484</v>
      </c>
      <c r="AM27" s="69">
        <f t="shared" si="67"/>
        <v>45498</v>
      </c>
      <c r="AN27" s="69">
        <f t="shared" ref="AN27:AO27" si="68">+AN71</f>
        <v>45500</v>
      </c>
      <c r="AO27" s="69">
        <f t="shared" si="68"/>
        <v>45500</v>
      </c>
      <c r="AP27" s="69">
        <f t="shared" ref="AP27:AQ27" si="69">+AP71</f>
        <v>45521</v>
      </c>
      <c r="AQ27" s="69">
        <f t="shared" si="69"/>
        <v>45534</v>
      </c>
      <c r="AR27" s="69">
        <f t="shared" ref="AR27:AS27" si="70">+AR71</f>
        <v>45549</v>
      </c>
      <c r="AS27" s="69">
        <f t="shared" si="70"/>
        <v>45569</v>
      </c>
      <c r="AT27" s="69">
        <f t="shared" ref="AT27:AU27" si="71">+AT71</f>
        <v>45583</v>
      </c>
      <c r="AU27" s="69">
        <f t="shared" si="71"/>
        <v>45590</v>
      </c>
      <c r="AV27" s="69">
        <f t="shared" ref="AV27:AW27" si="72">+AV71</f>
        <v>45611</v>
      </c>
      <c r="AW27" s="69">
        <f t="shared" si="72"/>
        <v>45626</v>
      </c>
      <c r="AX27" s="69">
        <f t="shared" ref="AX27:AY27" si="73">+AX71</f>
        <v>45633</v>
      </c>
      <c r="AY27" s="69">
        <f t="shared" si="73"/>
        <v>45633</v>
      </c>
      <c r="AZ27" s="69">
        <f t="shared" ref="AZ27:BA27" si="74">+AZ71</f>
        <v>45667</v>
      </c>
      <c r="BA27" s="69">
        <f t="shared" si="74"/>
        <v>45674</v>
      </c>
      <c r="BB27" s="69">
        <f t="shared" ref="BB27" si="75">+BB71</f>
        <v>45675</v>
      </c>
      <c r="BC27" s="69">
        <f>+BC71</f>
        <v>45688</v>
      </c>
      <c r="BD27" s="69">
        <f t="shared" ref="BD27:BF27" si="76">+BD71</f>
        <v>45696</v>
      </c>
      <c r="BE27" s="69">
        <f t="shared" si="76"/>
        <v>45709</v>
      </c>
      <c r="BF27" s="69">
        <f t="shared" si="76"/>
        <v>45710</v>
      </c>
      <c r="BG27" s="69">
        <f t="shared" ref="BG27:BI27" si="77">+BG71</f>
        <v>45716</v>
      </c>
      <c r="BH27" s="69">
        <f t="shared" si="77"/>
        <v>45730</v>
      </c>
      <c r="BI27" s="69">
        <f t="shared" si="77"/>
        <v>45738</v>
      </c>
      <c r="BJ27" s="69">
        <f t="shared" ref="BJ27:BO27" si="78">+BJ71</f>
        <v>45745</v>
      </c>
      <c r="BK27" s="69">
        <f t="shared" si="78"/>
        <v>45751</v>
      </c>
      <c r="BL27" s="69">
        <f t="shared" si="78"/>
        <v>45772</v>
      </c>
      <c r="BM27" s="69">
        <f t="shared" si="78"/>
        <v>45787</v>
      </c>
      <c r="BN27" s="69">
        <f t="shared" si="78"/>
        <v>45807</v>
      </c>
      <c r="BO27" s="69">
        <f t="shared" si="78"/>
        <v>45814</v>
      </c>
      <c r="BP27" s="69">
        <f t="shared" ref="BP27:BQ27" si="79">+BP71</f>
        <v>45835</v>
      </c>
      <c r="BQ27" s="69">
        <f t="shared" si="79"/>
        <v>45843</v>
      </c>
      <c r="BR27" s="69">
        <f t="shared" ref="BR27:BS27" si="80">+BR71</f>
        <v>45854</v>
      </c>
      <c r="BS27" s="69">
        <f t="shared" si="80"/>
        <v>45856</v>
      </c>
      <c r="BT27" s="69">
        <f t="shared" ref="BT27:BV27" si="81">+BT71</f>
        <v>45863</v>
      </c>
      <c r="BU27" s="69">
        <f t="shared" si="81"/>
        <v>45863</v>
      </c>
      <c r="BV27" s="69">
        <f t="shared" si="81"/>
        <v>45885</v>
      </c>
      <c r="BW27" s="69">
        <f t="shared" ref="BW27:BX27" si="82">+BW71</f>
        <v>45898</v>
      </c>
      <c r="BX27" s="69">
        <f t="shared" si="82"/>
        <v>45899</v>
      </c>
      <c r="BY27" s="69">
        <f t="shared" ref="BY27:BZ27" si="83">+BY71</f>
        <v>45933</v>
      </c>
      <c r="BZ27" s="69">
        <f t="shared" si="83"/>
        <v>45940</v>
      </c>
      <c r="CA27" s="69">
        <f t="shared" ref="CA27:CB27" si="84">+CA71</f>
        <v>45947</v>
      </c>
      <c r="CB27" s="69">
        <f t="shared" si="84"/>
        <v>45954</v>
      </c>
      <c r="CC27" s="69">
        <f t="shared" ref="CC27:CD27" si="85">+CC71</f>
        <v>45975</v>
      </c>
      <c r="CD27" s="69">
        <f t="shared" si="85"/>
        <v>45982</v>
      </c>
      <c r="CE27" s="69">
        <f t="shared" ref="CE27:CF27" si="86">+CE71</f>
        <v>45996</v>
      </c>
      <c r="CF27" s="69">
        <f t="shared" si="86"/>
        <v>46010</v>
      </c>
      <c r="CG27" s="69">
        <f t="shared" ref="CG27:CH27" si="87">+CG71</f>
        <v>46031</v>
      </c>
      <c r="CH27" s="69">
        <f t="shared" si="87"/>
        <v>46038</v>
      </c>
      <c r="CI27" s="69">
        <f t="shared" ref="CI27:CJ27" si="88">+CI71</f>
        <v>46053</v>
      </c>
      <c r="CJ27" s="69">
        <f t="shared" si="88"/>
        <v>46073</v>
      </c>
      <c r="CK27" s="69">
        <f t="shared" ref="CK27:CL27" si="89">+CK71</f>
        <v>46101</v>
      </c>
      <c r="CL27" s="69">
        <f t="shared" si="89"/>
        <v>46129</v>
      </c>
      <c r="CM27" s="69">
        <f t="shared" ref="CM27:CN27" si="90">+CM71</f>
        <v>46151</v>
      </c>
      <c r="CN27" s="69">
        <f t="shared" si="90"/>
        <v>46157</v>
      </c>
      <c r="CO27" s="70"/>
      <c r="CP27" s="71" t="str">
        <f t="shared" ref="CP27:CR27" si="91">+CP71</f>
        <v>All-time net profits</v>
      </c>
      <c r="CQ27" s="70"/>
      <c r="CR27" s="72" t="str">
        <f t="shared" si="91"/>
        <v>ROI</v>
      </c>
      <c r="CS27" s="72" t="str">
        <f>+CS71</f>
        <v>Games played</v>
      </c>
      <c r="CT27" s="72" t="str">
        <f t="shared" ref="CT27:CX27" si="92">+CT71</f>
        <v>ITM finishes</v>
      </c>
      <c r="CU27" s="72" t="str">
        <f t="shared" si="92"/>
        <v>ITM finish rate</v>
      </c>
      <c r="CV27" s="72" t="str">
        <f t="shared" ref="CV27" si="93">+CV71</f>
        <v>Share of PP won</v>
      </c>
      <c r="CW27" s="72" t="str">
        <f t="shared" si="92"/>
        <v>Share of PP risked</v>
      </c>
      <c r="CX27" s="72" t="str">
        <f t="shared" si="92"/>
        <v>Net profits / game</v>
      </c>
    </row>
    <row r="28" spans="2:102" ht="12.75" customHeight="1" x14ac:dyDescent="0.2">
      <c r="B28" s="82">
        <v>1</v>
      </c>
      <c r="C28" s="26" t="str" cm="1">
        <f t="array" ref="C28:C60">+_xlfn.SORTBY($C$72:$C$104,$CP$72:$CP$104,-1,$CR$72:$CR$104,-1)</f>
        <v>Lalli Nurmi</v>
      </c>
      <c r="D28" s="27" t="str">
        <f>+_xlfn.XLOOKUP($C28,$C$72:$C$105,D$72:D$105,"")</f>
        <v/>
      </c>
      <c r="E28" s="27" t="str">
        <f>+_xlfn.XLOOKUP($C28,$C$72:$C$105,E$72:E$105,"")</f>
        <v/>
      </c>
      <c r="F28" s="27" t="str">
        <f>+_xlfn.XLOOKUP($C28,$C$72:$C$105,F$72:F$105,"")</f>
        <v/>
      </c>
      <c r="G28" s="27" t="str">
        <f>+_xlfn.XLOOKUP($C28,$C$72:$C$105,G$72:G$105,"")</f>
        <v/>
      </c>
      <c r="H28" s="27" t="str">
        <f>+_xlfn.XLOOKUP($C28,$C$72:$C$105,H$72:H$105,"")</f>
        <v/>
      </c>
      <c r="I28" s="27" t="str">
        <f>+_xlfn.XLOOKUP($C28,$C$72:$C$105,I$72:I$105,"")</f>
        <v/>
      </c>
      <c r="J28" s="27" t="str">
        <f>+_xlfn.XLOOKUP($C28,$C$72:$C$105,J$72:J$105,"")</f>
        <v/>
      </c>
      <c r="K28" s="27">
        <f>+_xlfn.XLOOKUP($C28,$C$72:$C$105,K$72:K$105,"")</f>
        <v>-15</v>
      </c>
      <c r="L28" s="27" t="str">
        <f>+_xlfn.XLOOKUP($C28,$C$72:$C$105,L$72:L$105,"")</f>
        <v/>
      </c>
      <c r="M28" s="27" t="str">
        <f>+_xlfn.XLOOKUP($C28,$C$72:$C$105,M$72:M$105,"")</f>
        <v/>
      </c>
      <c r="N28" s="27" t="str">
        <f>+_xlfn.XLOOKUP($C28,$C$72:$C$105,N$72:N$105,"")</f>
        <v/>
      </c>
      <c r="O28" s="27" t="str">
        <f>+_xlfn.XLOOKUP($C28,$C$72:$C$105,O$72:O$105,"")</f>
        <v/>
      </c>
      <c r="P28" s="27" t="str">
        <f>+_xlfn.XLOOKUP($C28,$C$72:$C$105,P$72:P$105,"")</f>
        <v/>
      </c>
      <c r="Q28" s="27" t="str">
        <f>+_xlfn.XLOOKUP($C28,$C$72:$C$105,Q$72:Q$105,"")</f>
        <v/>
      </c>
      <c r="R28" s="27" t="str">
        <f>+_xlfn.XLOOKUP($C28,$C$72:$C$105,R$72:R$105,"")</f>
        <v/>
      </c>
      <c r="S28" s="27" t="str">
        <f>+_xlfn.XLOOKUP($C28,$C$72:$C$105,S$72:S$105,"")</f>
        <v/>
      </c>
      <c r="T28" s="27" t="str">
        <f>+_xlfn.XLOOKUP($C28,$C$72:$C$105,T$72:T$105,"")</f>
        <v/>
      </c>
      <c r="U28" s="27" t="str">
        <f>+_xlfn.XLOOKUP($C28,$C$72:$C$105,U$72:U$105,"")</f>
        <v/>
      </c>
      <c r="V28" s="27" t="str">
        <f>+_xlfn.XLOOKUP($C28,$C$72:$C$105,V$72:V$105,"")</f>
        <v/>
      </c>
      <c r="W28" s="27">
        <f>+_xlfn.XLOOKUP($C28,$C$72:$C$105,W$72:W$105,"")</f>
        <v>-15</v>
      </c>
      <c r="X28" s="27" t="str">
        <f>+_xlfn.XLOOKUP($C28,$C$72:$C$105,X$72:X$105,"")</f>
        <v/>
      </c>
      <c r="Y28" s="27" t="str">
        <f>+_xlfn.XLOOKUP($C28,$C$72:$C$105,Y$72:Y$105,"")</f>
        <v/>
      </c>
      <c r="Z28" s="27" t="str">
        <f>+_xlfn.XLOOKUP($C28,$C$72:$C$105,Z$72:Z$105,"")</f>
        <v/>
      </c>
      <c r="AA28" s="27">
        <f>+_xlfn.XLOOKUP($C28,$C$72:$C$105,AA$72:AA$105,"")</f>
        <v>85</v>
      </c>
      <c r="AB28" s="27">
        <f>+_xlfn.XLOOKUP($C28,$C$72:$C$105,AB$72:AB$105,"")</f>
        <v>-30</v>
      </c>
      <c r="AC28" s="27">
        <f>+_xlfn.XLOOKUP($C28,$C$72:$C$105,AC$72:AC$105,"")</f>
        <v>-15</v>
      </c>
      <c r="AD28" s="27">
        <f>+_xlfn.XLOOKUP($C28,$C$72:$C$105,AD$72:AD$105,"")</f>
        <v>-15</v>
      </c>
      <c r="AE28" s="27" t="str">
        <f>+_xlfn.XLOOKUP($C28,$C$72:$C$105,AE$72:AE$105,"")</f>
        <v/>
      </c>
      <c r="AF28" s="27">
        <f>+_xlfn.XLOOKUP($C28,$C$72:$C$105,AF$72:AF$105,"")</f>
        <v>-30</v>
      </c>
      <c r="AG28" s="27" t="str">
        <f>+_xlfn.XLOOKUP($C28,$C$72:$C$105,AG$72:AG$105,"")</f>
        <v/>
      </c>
      <c r="AH28" s="27">
        <f>+_xlfn.XLOOKUP($C28,$C$72:$C$105,AH$72:AH$105,"")</f>
        <v>75</v>
      </c>
      <c r="AI28" s="27" t="str">
        <f>+_xlfn.XLOOKUP($C28,$C$72:$C$105,AI$72:AI$105,"")</f>
        <v/>
      </c>
      <c r="AJ28" s="27">
        <f>+_xlfn.XLOOKUP($C28,$C$72:$C$105,AJ$72:AJ$105,"")</f>
        <v>120</v>
      </c>
      <c r="AK28" s="27">
        <f>+_xlfn.XLOOKUP($C28,$C$72:$C$105,AK$72:AK$105,"")</f>
        <v>-10</v>
      </c>
      <c r="AL28" s="27">
        <f>+_xlfn.XLOOKUP($C28,$C$72:$C$105,AL$72:AL$105,"")</f>
        <v>-15</v>
      </c>
      <c r="AM28" s="27">
        <f>+_xlfn.XLOOKUP($C28,$C$72:$C$105,AM$72:AM$105,"")</f>
        <v>-15</v>
      </c>
      <c r="AN28" s="27" t="str">
        <f>+_xlfn.XLOOKUP($C28,$C$72:$C$105,AN$72:AN$105,"")</f>
        <v/>
      </c>
      <c r="AO28" s="27" t="str">
        <f>+_xlfn.XLOOKUP($C28,$C$72:$C$105,AO$72:AO$105,"")</f>
        <v/>
      </c>
      <c r="AP28" s="27" t="str">
        <f>+_xlfn.XLOOKUP($C28,$C$72:$C$105,AP$72:AP$105,"")</f>
        <v/>
      </c>
      <c r="AQ28" s="27">
        <f>+_xlfn.XLOOKUP($C28,$C$72:$C$105,AQ$72:AQ$105,"")</f>
        <v>90</v>
      </c>
      <c r="AR28" s="27">
        <f>+_xlfn.XLOOKUP($C28,$C$72:$C$105,AR$72:AR$105,"")</f>
        <v>45</v>
      </c>
      <c r="AS28" s="27" t="str">
        <f>+_xlfn.XLOOKUP($C28,$C$72:$C$105,AS$72:AS$105,"")</f>
        <v/>
      </c>
      <c r="AT28" s="27" t="str">
        <f>+_xlfn.XLOOKUP($C28,$C$72:$C$105,AT$72:AT$105,"")</f>
        <v/>
      </c>
      <c r="AU28" s="27" t="str">
        <f>+_xlfn.XLOOKUP($C28,$C$72:$C$105,AU$72:AU$105,"")</f>
        <v/>
      </c>
      <c r="AV28" s="27" t="str">
        <f>+_xlfn.XLOOKUP($C28,$C$72:$C$105,AV$72:AV$105,"")</f>
        <v/>
      </c>
      <c r="AW28" s="27">
        <f>+_xlfn.XLOOKUP($C28,$C$72:$C$105,AW$72:AW$105,"")</f>
        <v>141</v>
      </c>
      <c r="AX28" s="27" t="str">
        <f>+_xlfn.XLOOKUP($C28,$C$72:$C$105,AX$72:AX$105,"")</f>
        <v/>
      </c>
      <c r="AY28" s="27" t="str">
        <f>+_xlfn.XLOOKUP($C28,$C$72:$C$105,AY$72:AY$105,"")</f>
        <v/>
      </c>
      <c r="AZ28" s="27" t="str">
        <f>+_xlfn.XLOOKUP($C28,$C$72:$C$105,AZ$72:AZ$105,"")</f>
        <v/>
      </c>
      <c r="BA28" s="27">
        <f>+_xlfn.XLOOKUP($C28,$C$72:$C$105,BA$72:BA$105,"")</f>
        <v>-40</v>
      </c>
      <c r="BB28" s="27" t="str">
        <f>+_xlfn.XLOOKUP($C28,$C$72:$C$105,BB$72:BB$105,"")</f>
        <v/>
      </c>
      <c r="BC28" s="27" t="str">
        <f>+_xlfn.XLOOKUP($C28,$C$72:$C$105,BC$72:BC$105,"")</f>
        <v/>
      </c>
      <c r="BD28" s="27" t="str">
        <f>+_xlfn.XLOOKUP($C28,$C$72:$C$105,BD$72:BD$105,"")</f>
        <v/>
      </c>
      <c r="BE28" s="27">
        <f>+_xlfn.XLOOKUP($C28,$C$72:$C$105,BE$72:BE$105,"")</f>
        <v>-10</v>
      </c>
      <c r="BF28" s="27">
        <f>+_xlfn.XLOOKUP($C28,$C$72:$C$105,BF$72:BF$105,"")</f>
        <v>50</v>
      </c>
      <c r="BG28" s="27" t="str">
        <f>+_xlfn.XLOOKUP($C28,$C$72:$C$105,BG$72:BG$105,"")</f>
        <v/>
      </c>
      <c r="BH28" s="27">
        <f>+_xlfn.XLOOKUP($C28,$C$72:$C$105,BH$72:BH$105,"")</f>
        <v>180</v>
      </c>
      <c r="BI28" s="27">
        <f>+_xlfn.XLOOKUP($C28,$C$72:$C$105,BI$72:BI$105,"")</f>
        <v>-20</v>
      </c>
      <c r="BJ28" s="27" t="str">
        <f>+_xlfn.XLOOKUP($C28,$C$72:$C$105,BJ$72:BJ$105,"")</f>
        <v/>
      </c>
      <c r="BK28" s="27">
        <f>+_xlfn.XLOOKUP($C28,$C$72:$C$105,BK$72:BK$105,"")</f>
        <v>-20</v>
      </c>
      <c r="BL28" s="27" t="str">
        <f>+_xlfn.XLOOKUP($C28,$C$72:$C$105,BL$72:BL$105,"")</f>
        <v/>
      </c>
      <c r="BM28" s="27">
        <f>+_xlfn.XLOOKUP($C28,$C$72:$C$105,BM$72:BM$105,"")</f>
        <v>120</v>
      </c>
      <c r="BN28" s="27" t="str">
        <f>+_xlfn.XLOOKUP($C28,$C$72:$C$105,BN$72:BN$105,"")</f>
        <v/>
      </c>
      <c r="BO28" s="27">
        <f>+_xlfn.XLOOKUP($C28,$C$72:$C$105,BO$72:BO$105,"")</f>
        <v>-20</v>
      </c>
      <c r="BP28" s="27" t="str">
        <f>+_xlfn.XLOOKUP($C28,$C$72:$C$105,BP$72:BP$105,"")</f>
        <v/>
      </c>
      <c r="BQ28" s="27">
        <f>+_xlfn.XLOOKUP($C28,$C$72:$C$105,BQ$72:BQ$105,"")</f>
        <v>-20</v>
      </c>
      <c r="BR28" s="27" t="str">
        <f>+_xlfn.XLOOKUP($C28,$C$72:$C$105,BR$72:BR$105,"")</f>
        <v/>
      </c>
      <c r="BS28" s="27" t="str">
        <f>+_xlfn.XLOOKUP($C28,$C$72:$C$105,BS$72:BS$105,"")</f>
        <v/>
      </c>
      <c r="BT28" s="27" t="str">
        <f>+_xlfn.XLOOKUP($C28,$C$72:$C$105,BT$72:BT$105,"")</f>
        <v/>
      </c>
      <c r="BU28" s="27" t="str">
        <f>+_xlfn.XLOOKUP($C28,$C$72:$C$105,BU$72:BU$105,"")</f>
        <v/>
      </c>
      <c r="BV28" s="27" t="str">
        <f>+_xlfn.XLOOKUP($C28,$C$72:$C$105,BV$72:BV$105,"")</f>
        <v/>
      </c>
      <c r="BW28" s="27">
        <f>+_xlfn.XLOOKUP($C28,$C$72:$C$105,BW$72:BW$105,"")</f>
        <v>-40</v>
      </c>
      <c r="BX28" s="27">
        <f>+_xlfn.XLOOKUP($C28,$C$72:$C$105,BX$72:BX$105,"")</f>
        <v>-30</v>
      </c>
      <c r="BY28" s="27">
        <f>+_xlfn.XLOOKUP($C28,$C$72:$C$105,BY$72:BY$105,"")</f>
        <v>195</v>
      </c>
      <c r="BZ28" s="27" t="str">
        <f>+_xlfn.XLOOKUP($C28,$C$72:$C$105,BZ$72:BZ$105,"")</f>
        <v/>
      </c>
      <c r="CA28" s="27" t="str">
        <f>+_xlfn.XLOOKUP($C28,$C$72:$C$105,CA$72:CA$105,"")</f>
        <v/>
      </c>
      <c r="CB28" s="27" t="str">
        <f>+_xlfn.XLOOKUP($C28,$C$72:$C$105,CB$72:CB$105,"")</f>
        <v/>
      </c>
      <c r="CC28" s="27">
        <f>+_xlfn.XLOOKUP($C28,$C$72:$C$105,CC$72:CC$105,"")</f>
        <v>-40</v>
      </c>
      <c r="CD28" s="27" t="str">
        <f>+_xlfn.XLOOKUP($C28,$C$72:$C$105,CD$72:CD$105,"")</f>
        <v/>
      </c>
      <c r="CE28" s="27" t="str">
        <f>+_xlfn.XLOOKUP($C28,$C$72:$C$105,CE$72:CE$105,"")</f>
        <v/>
      </c>
      <c r="CF28" s="27">
        <f>+_xlfn.XLOOKUP($C28,$C$72:$C$105,CF$72:CF$105,"")</f>
        <v>150</v>
      </c>
      <c r="CG28" s="27" t="str">
        <f>+_xlfn.XLOOKUP($C28,$C$72:$C$105,CG$72:CG$105,"")</f>
        <v/>
      </c>
      <c r="CH28" s="27" t="str">
        <f>+_xlfn.XLOOKUP($C28,$C$72:$C$105,CH$72:CH$105,"")</f>
        <v/>
      </c>
      <c r="CI28" s="27" t="str">
        <f>+_xlfn.XLOOKUP($C28,$C$72:$C$105,CI$72:CI$105,"")</f>
        <v/>
      </c>
      <c r="CJ28" s="27">
        <f>+_xlfn.XLOOKUP($C28,$C$72:$C$105,CJ$72:CJ$105,"")</f>
        <v>-20</v>
      </c>
      <c r="CK28" s="27">
        <f>+_xlfn.XLOOKUP($C28,$C$72:$C$105,CK$72:CK$105,"")</f>
        <v>181.25</v>
      </c>
      <c r="CL28" s="27" t="str">
        <f>+_xlfn.XLOOKUP($C28,$C$72:$C$105,CL$72:CL$105,"")</f>
        <v/>
      </c>
      <c r="CM28" s="27" t="str">
        <f>+_xlfn.XLOOKUP($C28,$C$72:$C$105,CM$72:CM$105,"")</f>
        <v/>
      </c>
      <c r="CN28" s="27" t="str">
        <f>+_xlfn.XLOOKUP($C28,$C$72:$C$105,CN$72:CN$105,"")</f>
        <v/>
      </c>
      <c r="CO28" s="28"/>
      <c r="CP28" s="29">
        <f>+_xlfn.XLOOKUP($C28,$C$72:$C$105,CP$72:CP$105,"")</f>
        <v>1012.25</v>
      </c>
      <c r="CQ28" s="27"/>
      <c r="CR28" s="30">
        <f>+_xlfn.XLOOKUP($C28,$C$72:$C$105,CR$72:CR$105,"")</f>
        <v>1.4886029411764707</v>
      </c>
      <c r="CS28" s="31">
        <f>+_xlfn.XLOOKUP($C28,$C$72:$C$105,CS$72:CS$105,"")</f>
        <v>31</v>
      </c>
      <c r="CT28" s="31">
        <f>+_xlfn.XLOOKUP($C28,$C$72:$C$105,CT$72:CT$105,"")</f>
        <v>12</v>
      </c>
      <c r="CU28" s="30">
        <f>+_xlfn.XLOOKUP($C28,$C$72:$C$105,CU$72:CU$105,"")</f>
        <v>0.38709677419354838</v>
      </c>
      <c r="CV28" s="30">
        <f>+_xlfn.XLOOKUP($C28,$C$72:$C$105,CV$72:CV$105,"")</f>
        <v>0.40436081242532856</v>
      </c>
      <c r="CW28" s="30">
        <f>+_xlfn.XLOOKUP($C28,$C$72:$C$105,CW$72:CW$105,"")</f>
        <v>0.16248506571087215</v>
      </c>
      <c r="CX28" s="32">
        <f>+_xlfn.XLOOKUP($C28,$C$72:$C$105,CX$72:CX$105,"")</f>
        <v>32.653225806451616</v>
      </c>
    </row>
    <row r="29" spans="2:102" ht="12.75" customHeight="1" x14ac:dyDescent="0.2">
      <c r="B29" s="83">
        <f>+B28+1</f>
        <v>2</v>
      </c>
      <c r="C29" s="33" t="str">
        <v>Valtteri Kämäräinen</v>
      </c>
      <c r="D29" s="34" t="str">
        <f>+_xlfn.XLOOKUP($C29,$C$72:$C$105,D$72:D$105,"")</f>
        <v/>
      </c>
      <c r="E29" s="34" t="str">
        <f>+_xlfn.XLOOKUP($C29,$C$72:$C$105,E$72:E$105,"")</f>
        <v/>
      </c>
      <c r="F29" s="34" t="str">
        <f>+_xlfn.XLOOKUP($C29,$C$72:$C$105,F$72:F$105,"")</f>
        <v/>
      </c>
      <c r="G29" s="34" t="str">
        <f>+_xlfn.XLOOKUP($C29,$C$72:$C$105,G$72:G$105,"")</f>
        <v/>
      </c>
      <c r="H29" s="34">
        <f>+_xlfn.XLOOKUP($C29,$C$72:$C$105,H$72:H$105,"")</f>
        <v>-15</v>
      </c>
      <c r="I29" s="34" t="str">
        <f>+_xlfn.XLOOKUP($C29,$C$72:$C$105,I$72:I$105,"")</f>
        <v/>
      </c>
      <c r="J29" s="34" t="str">
        <f>+_xlfn.XLOOKUP($C29,$C$72:$C$105,J$72:J$105,"")</f>
        <v/>
      </c>
      <c r="K29" s="34" t="str">
        <f>+_xlfn.XLOOKUP($C29,$C$72:$C$105,K$72:K$105,"")</f>
        <v/>
      </c>
      <c r="L29" s="34" t="str">
        <f>+_xlfn.XLOOKUP($C29,$C$72:$C$105,L$72:L$105,"")</f>
        <v/>
      </c>
      <c r="M29" s="34" t="str">
        <f>+_xlfn.XLOOKUP($C29,$C$72:$C$105,M$72:M$105,"")</f>
        <v/>
      </c>
      <c r="N29" s="34" t="str">
        <f>+_xlfn.XLOOKUP($C29,$C$72:$C$105,N$72:N$105,"")</f>
        <v/>
      </c>
      <c r="O29" s="34" t="str">
        <f>+_xlfn.XLOOKUP($C29,$C$72:$C$105,O$72:O$105,"")</f>
        <v/>
      </c>
      <c r="P29" s="34" t="str">
        <f>+_xlfn.XLOOKUP($C29,$C$72:$C$105,P$72:P$105,"")</f>
        <v/>
      </c>
      <c r="Q29" s="34" t="str">
        <f>+_xlfn.XLOOKUP($C29,$C$72:$C$105,Q$72:Q$105,"")</f>
        <v/>
      </c>
      <c r="R29" s="34" t="str">
        <f>+_xlfn.XLOOKUP($C29,$C$72:$C$105,R$72:R$105,"")</f>
        <v/>
      </c>
      <c r="S29" s="34" t="str">
        <f>+_xlfn.XLOOKUP($C29,$C$72:$C$105,S$72:S$105,"")</f>
        <v/>
      </c>
      <c r="T29" s="34" t="str">
        <f>+_xlfn.XLOOKUP($C29,$C$72:$C$105,T$72:T$105,"")</f>
        <v/>
      </c>
      <c r="U29" s="34" t="str">
        <f>+_xlfn.XLOOKUP($C29,$C$72:$C$105,U$72:U$105,"")</f>
        <v/>
      </c>
      <c r="V29" s="34" t="str">
        <f>+_xlfn.XLOOKUP($C29,$C$72:$C$105,V$72:V$105,"")</f>
        <v/>
      </c>
      <c r="W29" s="34" t="str">
        <f>+_xlfn.XLOOKUP($C29,$C$72:$C$105,W$72:W$105,"")</f>
        <v/>
      </c>
      <c r="X29" s="34" t="str">
        <f>+_xlfn.XLOOKUP($C29,$C$72:$C$105,X$72:X$105,"")</f>
        <v/>
      </c>
      <c r="Y29" s="34" t="str">
        <f>+_xlfn.XLOOKUP($C29,$C$72:$C$105,Y$72:Y$105,"")</f>
        <v/>
      </c>
      <c r="Z29" s="34" t="str">
        <f>+_xlfn.XLOOKUP($C29,$C$72:$C$105,Z$72:Z$105,"")</f>
        <v/>
      </c>
      <c r="AA29" s="34" t="str">
        <f>+_xlfn.XLOOKUP($C29,$C$72:$C$105,AA$72:AA$105,"")</f>
        <v/>
      </c>
      <c r="AB29" s="34" t="str">
        <f>+_xlfn.XLOOKUP($C29,$C$72:$C$105,AB$72:AB$105,"")</f>
        <v/>
      </c>
      <c r="AC29" s="34" t="str">
        <f>+_xlfn.XLOOKUP($C29,$C$72:$C$105,AC$72:AC$105,"")</f>
        <v/>
      </c>
      <c r="AD29" s="34" t="str">
        <f>+_xlfn.XLOOKUP($C29,$C$72:$C$105,AD$72:AD$105,"")</f>
        <v/>
      </c>
      <c r="AE29" s="34" t="str">
        <f>+_xlfn.XLOOKUP($C29,$C$72:$C$105,AE$72:AE$105,"")</f>
        <v/>
      </c>
      <c r="AF29" s="34" t="str">
        <f>+_xlfn.XLOOKUP($C29,$C$72:$C$105,AF$72:AF$105,"")</f>
        <v/>
      </c>
      <c r="AG29" s="34" t="str">
        <f>+_xlfn.XLOOKUP($C29,$C$72:$C$105,AG$72:AG$105,"")</f>
        <v/>
      </c>
      <c r="AH29" s="34" t="str">
        <f>+_xlfn.XLOOKUP($C29,$C$72:$C$105,AH$72:AH$105,"")</f>
        <v/>
      </c>
      <c r="AI29" s="34" t="str">
        <f>+_xlfn.XLOOKUP($C29,$C$72:$C$105,AI$72:AI$105,"")</f>
        <v/>
      </c>
      <c r="AJ29" s="34" t="str">
        <f>+_xlfn.XLOOKUP($C29,$C$72:$C$105,AJ$72:AJ$105,"")</f>
        <v/>
      </c>
      <c r="AK29" s="34" t="str">
        <f>+_xlfn.XLOOKUP($C29,$C$72:$C$105,AK$72:AK$105,"")</f>
        <v/>
      </c>
      <c r="AL29" s="34" t="str">
        <f>+_xlfn.XLOOKUP($C29,$C$72:$C$105,AL$72:AL$105,"")</f>
        <v/>
      </c>
      <c r="AM29" s="34" t="str">
        <f>+_xlfn.XLOOKUP($C29,$C$72:$C$105,AM$72:AM$105,"")</f>
        <v/>
      </c>
      <c r="AN29" s="34" t="str">
        <f>+_xlfn.XLOOKUP($C29,$C$72:$C$105,AN$72:AN$105,"")</f>
        <v/>
      </c>
      <c r="AO29" s="34" t="str">
        <f>+_xlfn.XLOOKUP($C29,$C$72:$C$105,AO$72:AO$105,"")</f>
        <v/>
      </c>
      <c r="AP29" s="34" t="str">
        <f>+_xlfn.XLOOKUP($C29,$C$72:$C$105,AP$72:AP$105,"")</f>
        <v/>
      </c>
      <c r="AQ29" s="34" t="str">
        <f>+_xlfn.XLOOKUP($C29,$C$72:$C$105,AQ$72:AQ$105,"")</f>
        <v/>
      </c>
      <c r="AR29" s="34" t="str">
        <f>+_xlfn.XLOOKUP($C29,$C$72:$C$105,AR$72:AR$105,"")</f>
        <v/>
      </c>
      <c r="AS29" s="34" t="str">
        <f>+_xlfn.XLOOKUP($C29,$C$72:$C$105,AS$72:AS$105,"")</f>
        <v/>
      </c>
      <c r="AT29" s="34" t="str">
        <f>+_xlfn.XLOOKUP($C29,$C$72:$C$105,AT$72:AT$105,"")</f>
        <v/>
      </c>
      <c r="AU29" s="34" t="str">
        <f>+_xlfn.XLOOKUP($C29,$C$72:$C$105,AU$72:AU$105,"")</f>
        <v/>
      </c>
      <c r="AV29" s="34">
        <f>+_xlfn.XLOOKUP($C29,$C$72:$C$105,AV$72:AV$105,"")</f>
        <v>-15</v>
      </c>
      <c r="AW29" s="34" t="str">
        <f>+_xlfn.XLOOKUP($C29,$C$72:$C$105,AW$72:AW$105,"")</f>
        <v/>
      </c>
      <c r="AX29" s="34" t="str">
        <f>+_xlfn.XLOOKUP($C29,$C$72:$C$105,AX$72:AX$105,"")</f>
        <v/>
      </c>
      <c r="AY29" s="34" t="str">
        <f>+_xlfn.XLOOKUP($C29,$C$72:$C$105,AY$72:AY$105,"")</f>
        <v/>
      </c>
      <c r="AZ29" s="34">
        <f>+_xlfn.XLOOKUP($C29,$C$72:$C$105,AZ$72:AZ$105,"")</f>
        <v>200</v>
      </c>
      <c r="BA29" s="34" t="str">
        <f>+_xlfn.XLOOKUP($C29,$C$72:$C$105,BA$72:BA$105,"")</f>
        <v/>
      </c>
      <c r="BB29" s="34" t="str">
        <f>+_xlfn.XLOOKUP($C29,$C$72:$C$105,BB$72:BB$105,"")</f>
        <v/>
      </c>
      <c r="BC29" s="34">
        <f>+_xlfn.XLOOKUP($C29,$C$72:$C$105,BC$72:BC$105,"")</f>
        <v>-40</v>
      </c>
      <c r="BD29" s="34" t="str">
        <f>+_xlfn.XLOOKUP($C29,$C$72:$C$105,BD$72:BD$105,"")</f>
        <v/>
      </c>
      <c r="BE29" s="34" t="str">
        <f>+_xlfn.XLOOKUP($C29,$C$72:$C$105,BE$72:BE$105,"")</f>
        <v/>
      </c>
      <c r="BF29" s="34" t="str">
        <f>+_xlfn.XLOOKUP($C29,$C$72:$C$105,BF$72:BF$105,"")</f>
        <v/>
      </c>
      <c r="BG29" s="34" t="str">
        <f>+_xlfn.XLOOKUP($C29,$C$72:$C$105,BG$72:BG$105,"")</f>
        <v/>
      </c>
      <c r="BH29" s="34" t="str">
        <f>+_xlfn.XLOOKUP($C29,$C$72:$C$105,BH$72:BH$105,"")</f>
        <v/>
      </c>
      <c r="BI29" s="34" t="str">
        <f>+_xlfn.XLOOKUP($C29,$C$72:$C$105,BI$72:BI$105,"")</f>
        <v/>
      </c>
      <c r="BJ29" s="34" t="str">
        <f>+_xlfn.XLOOKUP($C29,$C$72:$C$105,BJ$72:BJ$105,"")</f>
        <v/>
      </c>
      <c r="BK29" s="34" t="str">
        <f>+_xlfn.XLOOKUP($C29,$C$72:$C$105,BK$72:BK$105,"")</f>
        <v/>
      </c>
      <c r="BL29" s="34" t="str">
        <f>+_xlfn.XLOOKUP($C29,$C$72:$C$105,BL$72:BL$105,"")</f>
        <v/>
      </c>
      <c r="BM29" s="34" t="str">
        <f>+_xlfn.XLOOKUP($C29,$C$72:$C$105,BM$72:BM$105,"")</f>
        <v/>
      </c>
      <c r="BN29" s="34" t="str">
        <f>+_xlfn.XLOOKUP($C29,$C$72:$C$105,BN$72:BN$105,"")</f>
        <v/>
      </c>
      <c r="BO29" s="34" t="str">
        <f>+_xlfn.XLOOKUP($C29,$C$72:$C$105,BO$72:BO$105,"")</f>
        <v/>
      </c>
      <c r="BP29" s="34" t="str">
        <f>+_xlfn.XLOOKUP($C29,$C$72:$C$105,BP$72:BP$105,"")</f>
        <v/>
      </c>
      <c r="BQ29" s="34" t="str">
        <f>+_xlfn.XLOOKUP($C29,$C$72:$C$105,BQ$72:BQ$105,"")</f>
        <v/>
      </c>
      <c r="BR29" s="34" t="str">
        <f>+_xlfn.XLOOKUP($C29,$C$72:$C$105,BR$72:BR$105,"")</f>
        <v/>
      </c>
      <c r="BS29" s="34" t="str">
        <f>+_xlfn.XLOOKUP($C29,$C$72:$C$105,BS$72:BS$105,"")</f>
        <v/>
      </c>
      <c r="BT29" s="34" t="str">
        <f>+_xlfn.XLOOKUP($C29,$C$72:$C$105,BT$72:BT$105,"")</f>
        <v/>
      </c>
      <c r="BU29" s="34" t="str">
        <f>+_xlfn.XLOOKUP($C29,$C$72:$C$105,BU$72:BU$105,"")</f>
        <v/>
      </c>
      <c r="BV29" s="34" t="str">
        <f>+_xlfn.XLOOKUP($C29,$C$72:$C$105,BV$72:BV$105,"")</f>
        <v/>
      </c>
      <c r="BW29" s="34" t="str">
        <f>+_xlfn.XLOOKUP($C29,$C$72:$C$105,BW$72:BW$105,"")</f>
        <v/>
      </c>
      <c r="BX29" s="34" t="str">
        <f>+_xlfn.XLOOKUP($C29,$C$72:$C$105,BX$72:BX$105,"")</f>
        <v/>
      </c>
      <c r="BY29" s="34" t="str">
        <f>+_xlfn.XLOOKUP($C29,$C$72:$C$105,BY$72:BY$105,"")</f>
        <v/>
      </c>
      <c r="BZ29" s="34" t="str">
        <f>+_xlfn.XLOOKUP($C29,$C$72:$C$105,BZ$72:BZ$105,"")</f>
        <v/>
      </c>
      <c r="CA29" s="34" t="str">
        <f>+_xlfn.XLOOKUP($C29,$C$72:$C$105,CA$72:CA$105,"")</f>
        <v/>
      </c>
      <c r="CB29" s="34" t="str">
        <f>+_xlfn.XLOOKUP($C29,$C$72:$C$105,CB$72:CB$105,"")</f>
        <v/>
      </c>
      <c r="CC29" s="34">
        <f>+_xlfn.XLOOKUP($C29,$C$72:$C$105,CC$72:CC$105,"")</f>
        <v>-60</v>
      </c>
      <c r="CD29" s="34" t="str">
        <f>+_xlfn.XLOOKUP($C29,$C$72:$C$105,CD$72:CD$105,"")</f>
        <v/>
      </c>
      <c r="CE29" s="34">
        <f>+_xlfn.XLOOKUP($C29,$C$72:$C$105,CE$72:CE$105,"")</f>
        <v>-20</v>
      </c>
      <c r="CF29" s="34">
        <f>+_xlfn.XLOOKUP($C29,$C$72:$C$105,CF$72:CF$105,"")</f>
        <v>-25</v>
      </c>
      <c r="CG29" s="34" t="str">
        <f>+_xlfn.XLOOKUP($C29,$C$72:$C$105,CG$72:CG$105,"")</f>
        <v/>
      </c>
      <c r="CH29" s="34">
        <f>+_xlfn.XLOOKUP($C29,$C$72:$C$105,CH$72:CH$105,"")</f>
        <v>252</v>
      </c>
      <c r="CI29" s="34" t="str">
        <f>+_xlfn.XLOOKUP($C29,$C$72:$C$105,CI$72:CI$105,"")</f>
        <v/>
      </c>
      <c r="CJ29" s="34" t="str">
        <f>+_xlfn.XLOOKUP($C29,$C$72:$C$105,CJ$72:CJ$105,"")</f>
        <v/>
      </c>
      <c r="CK29" s="34" t="str">
        <f>+_xlfn.XLOOKUP($C29,$C$72:$C$105,CK$72:CK$105,"")</f>
        <v/>
      </c>
      <c r="CL29" s="34">
        <f>+_xlfn.XLOOKUP($C29,$C$72:$C$105,CL$72:CL$105,"")</f>
        <v>30</v>
      </c>
      <c r="CM29" s="34" t="str">
        <f>+_xlfn.XLOOKUP($C29,$C$72:$C$105,CM$72:CM$105,"")</f>
        <v/>
      </c>
      <c r="CN29" s="34" t="str">
        <f>+_xlfn.XLOOKUP($C29,$C$72:$C$105,CN$72:CN$105,"")</f>
        <v/>
      </c>
      <c r="CO29" s="35"/>
      <c r="CP29" s="36">
        <f>+_xlfn.XLOOKUP($C29,$C$72:$C$105,CP$72:CP$105,"")</f>
        <v>307</v>
      </c>
      <c r="CQ29" s="34"/>
      <c r="CR29" s="37">
        <f>+_xlfn.XLOOKUP($C29,$C$72:$C$105,CR$72:CR$105,"")</f>
        <v>1.0065573770491802</v>
      </c>
      <c r="CS29" s="38">
        <f>+_xlfn.XLOOKUP($C29,$C$72:$C$105,CS$72:CS$105,"")</f>
        <v>9</v>
      </c>
      <c r="CT29" s="38">
        <f>+_xlfn.XLOOKUP($C29,$C$72:$C$105,CT$72:CT$105,"")</f>
        <v>3</v>
      </c>
      <c r="CU29" s="37">
        <f>+_xlfn.XLOOKUP($C29,$C$72:$C$105,CU$72:CU$105,"")</f>
        <v>0.33333333333333331</v>
      </c>
      <c r="CV29" s="37">
        <f>+_xlfn.XLOOKUP($C29,$C$72:$C$105,CV$72:CV$105,"")</f>
        <v>0.31627906976744186</v>
      </c>
      <c r="CW29" s="37">
        <f>+_xlfn.XLOOKUP($C29,$C$72:$C$105,CW$72:CW$105,"")</f>
        <v>0.15762273901808785</v>
      </c>
      <c r="CX29" s="39">
        <f>+_xlfn.XLOOKUP($C29,$C$72:$C$105,CX$72:CX$105,"")</f>
        <v>34.111111111111114</v>
      </c>
    </row>
    <row r="30" spans="2:102" ht="12.75" customHeight="1" x14ac:dyDescent="0.2">
      <c r="B30" s="84">
        <f t="shared" ref="B30:B60" si="94">+B29+1</f>
        <v>3</v>
      </c>
      <c r="C30" s="40" t="str">
        <v>Jamiro Lilja</v>
      </c>
      <c r="D30" s="41" t="str">
        <f>+_xlfn.XLOOKUP($C30,$C$72:$C$105,D$72:D$105,"")</f>
        <v/>
      </c>
      <c r="E30" s="41">
        <f>+_xlfn.XLOOKUP($C30,$C$72:$C$105,E$72:E$105,"")</f>
        <v>-10</v>
      </c>
      <c r="F30" s="41">
        <f>+_xlfn.XLOOKUP($C30,$C$72:$C$105,F$72:F$105,"")</f>
        <v>-10</v>
      </c>
      <c r="G30" s="41">
        <f>+_xlfn.XLOOKUP($C30,$C$72:$C$105,G$72:G$105,"")</f>
        <v>-10</v>
      </c>
      <c r="H30" s="41" t="str">
        <f>+_xlfn.XLOOKUP($C30,$C$72:$C$105,H$72:H$105,"")</f>
        <v/>
      </c>
      <c r="I30" s="41" t="str">
        <f>+_xlfn.XLOOKUP($C30,$C$72:$C$105,I$72:I$105,"")</f>
        <v/>
      </c>
      <c r="J30" s="41">
        <f>+_xlfn.XLOOKUP($C30,$C$72:$C$105,J$72:J$105,"")</f>
        <v>-30</v>
      </c>
      <c r="K30" s="41" t="str">
        <f>+_xlfn.XLOOKUP($C30,$C$72:$C$105,K$72:K$105,"")</f>
        <v/>
      </c>
      <c r="L30" s="41">
        <f>+_xlfn.XLOOKUP($C30,$C$72:$C$105,L$72:L$105,"")</f>
        <v>-30</v>
      </c>
      <c r="M30" s="41">
        <f>+_xlfn.XLOOKUP($C30,$C$72:$C$105,M$72:M$105,"")</f>
        <v>-30</v>
      </c>
      <c r="N30" s="41">
        <f>+_xlfn.XLOOKUP($C30,$C$72:$C$105,N$72:N$105,"")</f>
        <v>45</v>
      </c>
      <c r="O30" s="41" t="str">
        <f>+_xlfn.XLOOKUP($C30,$C$72:$C$105,O$72:O$105,"")</f>
        <v/>
      </c>
      <c r="P30" s="41">
        <f>+_xlfn.XLOOKUP($C30,$C$72:$C$105,P$72:P$105,"")</f>
        <v>75</v>
      </c>
      <c r="Q30" s="41">
        <f>+_xlfn.XLOOKUP($C30,$C$72:$C$105,Q$72:Q$105,"")</f>
        <v>-15</v>
      </c>
      <c r="R30" s="41">
        <f>+_xlfn.XLOOKUP($C30,$C$72:$C$105,R$72:R$105,"")</f>
        <v>-30</v>
      </c>
      <c r="S30" s="41">
        <f>+_xlfn.XLOOKUP($C30,$C$72:$C$105,S$72:S$105,"")</f>
        <v>-39.770000000000003</v>
      </c>
      <c r="T30" s="41">
        <f>+_xlfn.XLOOKUP($C30,$C$72:$C$105,T$72:T$105,"")</f>
        <v>-15</v>
      </c>
      <c r="U30" s="41" t="str">
        <f>+_xlfn.XLOOKUP($C30,$C$72:$C$105,U$72:U$105,"")</f>
        <v/>
      </c>
      <c r="V30" s="41">
        <f>+_xlfn.XLOOKUP($C30,$C$72:$C$105,V$72:V$105,"")</f>
        <v>90</v>
      </c>
      <c r="W30" s="41">
        <f>+_xlfn.XLOOKUP($C30,$C$72:$C$105,W$72:W$105,"")</f>
        <v>-15</v>
      </c>
      <c r="X30" s="41">
        <f>+_xlfn.XLOOKUP($C30,$C$72:$C$105,X$72:X$105,"")</f>
        <v>90</v>
      </c>
      <c r="Y30" s="41">
        <f>+_xlfn.XLOOKUP($C30,$C$72:$C$105,Y$72:Y$105,"")</f>
        <v>75</v>
      </c>
      <c r="Z30" s="41" t="str">
        <f>+_xlfn.XLOOKUP($C30,$C$72:$C$105,Z$72:Z$105,"")</f>
        <v/>
      </c>
      <c r="AA30" s="41">
        <f>+_xlfn.XLOOKUP($C30,$C$72:$C$105,AA$72:AA$105,"")</f>
        <v>-40</v>
      </c>
      <c r="AB30" s="41">
        <f>+_xlfn.XLOOKUP($C30,$C$72:$C$105,AB$72:AB$105,"")</f>
        <v>-30</v>
      </c>
      <c r="AC30" s="41">
        <f>+_xlfn.XLOOKUP($C30,$C$72:$C$105,AC$72:AC$105,"")</f>
        <v>-15</v>
      </c>
      <c r="AD30" s="41" t="str">
        <f>+_xlfn.XLOOKUP($C30,$C$72:$C$105,AD$72:AD$105,"")</f>
        <v/>
      </c>
      <c r="AE30" s="41">
        <f>+_xlfn.XLOOKUP($C30,$C$72:$C$105,AE$72:AE$105,"")</f>
        <v>-20</v>
      </c>
      <c r="AF30" s="41">
        <f>+_xlfn.XLOOKUP($C30,$C$72:$C$105,AF$72:AF$105,"")</f>
        <v>-15</v>
      </c>
      <c r="AG30" s="41">
        <f>+_xlfn.XLOOKUP($C30,$C$72:$C$105,AG$72:AG$105,"")</f>
        <v>-15</v>
      </c>
      <c r="AH30" s="41" t="str">
        <f>+_xlfn.XLOOKUP($C30,$C$72:$C$105,AH$72:AH$105,"")</f>
        <v/>
      </c>
      <c r="AI30" s="41">
        <f>+_xlfn.XLOOKUP($C30,$C$72:$C$105,AI$72:AI$105,"")</f>
        <v>-30</v>
      </c>
      <c r="AJ30" s="41" t="str">
        <f>+_xlfn.XLOOKUP($C30,$C$72:$C$105,AJ$72:AJ$105,"")</f>
        <v/>
      </c>
      <c r="AK30" s="41" t="str">
        <f>+_xlfn.XLOOKUP($C30,$C$72:$C$105,AK$72:AK$105,"")</f>
        <v/>
      </c>
      <c r="AL30" s="41">
        <f>+_xlfn.XLOOKUP($C30,$C$72:$C$105,AL$72:AL$105,"")</f>
        <v>105</v>
      </c>
      <c r="AM30" s="41" t="str">
        <f>+_xlfn.XLOOKUP($C30,$C$72:$C$105,AM$72:AM$105,"")</f>
        <v/>
      </c>
      <c r="AN30" s="41">
        <f>+_xlfn.XLOOKUP($C30,$C$72:$C$105,AN$72:AN$105,"")</f>
        <v>105</v>
      </c>
      <c r="AO30" s="41">
        <f>+_xlfn.XLOOKUP($C30,$C$72:$C$105,AO$72:AO$105,"")</f>
        <v>-10</v>
      </c>
      <c r="AP30" s="41">
        <f>+_xlfn.XLOOKUP($C30,$C$72:$C$105,AP$72:AP$105,"")</f>
        <v>-15</v>
      </c>
      <c r="AQ30" s="41">
        <f>+_xlfn.XLOOKUP($C30,$C$72:$C$105,AQ$72:AQ$105,"")</f>
        <v>-45</v>
      </c>
      <c r="AR30" s="41" t="str">
        <f>+_xlfn.XLOOKUP($C30,$C$72:$C$105,AR$72:AR$105,"")</f>
        <v/>
      </c>
      <c r="AS30" s="41">
        <f>+_xlfn.XLOOKUP($C30,$C$72:$C$105,AS$72:AS$105,"")</f>
        <v>-40</v>
      </c>
      <c r="AT30" s="41">
        <f>+_xlfn.XLOOKUP($C30,$C$72:$C$105,AT$72:AT$105,"")</f>
        <v>-15</v>
      </c>
      <c r="AU30" s="41">
        <f>+_xlfn.XLOOKUP($C30,$C$72:$C$105,AU$72:AU$105,"")</f>
        <v>75</v>
      </c>
      <c r="AV30" s="41">
        <f>+_xlfn.XLOOKUP($C30,$C$72:$C$105,AV$72:AV$105,"")</f>
        <v>-75</v>
      </c>
      <c r="AW30" s="41">
        <f>+_xlfn.XLOOKUP($C30,$C$72:$C$105,AW$72:AW$105,"")</f>
        <v>-30</v>
      </c>
      <c r="AX30" s="41" t="str">
        <f>+_xlfn.XLOOKUP($C30,$C$72:$C$105,AX$72:AX$105,"")</f>
        <v/>
      </c>
      <c r="AY30" s="41" t="str">
        <f>+_xlfn.XLOOKUP($C30,$C$72:$C$105,AY$72:AY$105,"")</f>
        <v/>
      </c>
      <c r="AZ30" s="41">
        <f>+_xlfn.XLOOKUP($C30,$C$72:$C$105,AZ$72:AZ$105,"")</f>
        <v>-80</v>
      </c>
      <c r="BA30" s="41">
        <f>+_xlfn.XLOOKUP($C30,$C$72:$C$105,BA$72:BA$105,"")</f>
        <v>-20</v>
      </c>
      <c r="BB30" s="41" t="str">
        <f>+_xlfn.XLOOKUP($C30,$C$72:$C$105,BB$72:BB$105,"")</f>
        <v/>
      </c>
      <c r="BC30" s="41">
        <f>+_xlfn.XLOOKUP($C30,$C$72:$C$105,BC$72:BC$105,"")</f>
        <v>-20</v>
      </c>
      <c r="BD30" s="41">
        <f>+_xlfn.XLOOKUP($C30,$C$72:$C$105,BD$72:BD$105,"")</f>
        <v>160</v>
      </c>
      <c r="BE30" s="41" t="str">
        <f>+_xlfn.XLOOKUP($C30,$C$72:$C$105,BE$72:BE$105,"")</f>
        <v/>
      </c>
      <c r="BF30" s="41" t="str">
        <f>+_xlfn.XLOOKUP($C30,$C$72:$C$105,BF$72:BF$105,"")</f>
        <v/>
      </c>
      <c r="BG30" s="41">
        <f>+_xlfn.XLOOKUP($C30,$C$72:$C$105,BG$72:BG$105,"")</f>
        <v>-15</v>
      </c>
      <c r="BH30" s="41">
        <f>+_xlfn.XLOOKUP($C30,$C$72:$C$105,BH$72:BH$105,"")</f>
        <v>-20</v>
      </c>
      <c r="BI30" s="41" t="str">
        <f>+_xlfn.XLOOKUP($C30,$C$72:$C$105,BI$72:BI$105,"")</f>
        <v/>
      </c>
      <c r="BJ30" s="41" t="str">
        <f>+_xlfn.XLOOKUP($C30,$C$72:$C$105,BJ$72:BJ$105,"")</f>
        <v/>
      </c>
      <c r="BK30" s="41" t="str">
        <f>+_xlfn.XLOOKUP($C30,$C$72:$C$105,BK$72:BK$105,"")</f>
        <v/>
      </c>
      <c r="BL30" s="41">
        <f>+_xlfn.XLOOKUP($C30,$C$72:$C$105,BL$72:BL$105,"")</f>
        <v>-20</v>
      </c>
      <c r="BM30" s="41" t="str">
        <f>+_xlfn.XLOOKUP($C30,$C$72:$C$105,BM$72:BM$105,"")</f>
        <v/>
      </c>
      <c r="BN30" s="41">
        <f>+_xlfn.XLOOKUP($C30,$C$72:$C$105,BN$72:BN$105,"")</f>
        <v>-40</v>
      </c>
      <c r="BO30" s="41">
        <f>+_xlfn.XLOOKUP($C30,$C$72:$C$105,BO$72:BO$105,"")</f>
        <v>80</v>
      </c>
      <c r="BP30" s="41">
        <f>+_xlfn.XLOOKUP($C30,$C$72:$C$105,BP$72:BP$105,"")</f>
        <v>-20</v>
      </c>
      <c r="BQ30" s="41" t="str">
        <f>+_xlfn.XLOOKUP($C30,$C$72:$C$105,BQ$72:BQ$105,"")</f>
        <v/>
      </c>
      <c r="BR30" s="41" t="str">
        <f>+_xlfn.XLOOKUP($C30,$C$72:$C$105,BR$72:BR$105,"")</f>
        <v/>
      </c>
      <c r="BS30" s="41" t="str">
        <f>+_xlfn.XLOOKUP($C30,$C$72:$C$105,BS$72:BS$105,"")</f>
        <v/>
      </c>
      <c r="BT30" s="41">
        <f>+_xlfn.XLOOKUP($C30,$C$72:$C$105,BT$72:BT$105,"")</f>
        <v>-40</v>
      </c>
      <c r="BU30" s="41">
        <f>+_xlfn.XLOOKUP($C30,$C$72:$C$105,BU$72:BU$105,"")</f>
        <v>-60</v>
      </c>
      <c r="BV30" s="41">
        <f>+_xlfn.XLOOKUP($C30,$C$72:$C$105,BV$72:BV$105,"")</f>
        <v>200</v>
      </c>
      <c r="BW30" s="41">
        <f>+_xlfn.XLOOKUP($C30,$C$72:$C$105,BW$72:BW$105,"")</f>
        <v>-40</v>
      </c>
      <c r="BX30" s="41" t="str">
        <f>+_xlfn.XLOOKUP($C30,$C$72:$C$105,BX$72:BX$105,"")</f>
        <v/>
      </c>
      <c r="BY30" s="41" t="str">
        <f>+_xlfn.XLOOKUP($C30,$C$72:$C$105,BY$72:BY$105,"")</f>
        <v/>
      </c>
      <c r="BZ30" s="41">
        <f>+_xlfn.XLOOKUP($C30,$C$72:$C$105,BZ$72:BZ$105,"")</f>
        <v>80</v>
      </c>
      <c r="CA30" s="41">
        <f>+_xlfn.XLOOKUP($C30,$C$72:$C$105,CA$72:CA$105,"")</f>
        <v>-20</v>
      </c>
      <c r="CB30" s="41">
        <f>+_xlfn.XLOOKUP($C30,$C$72:$C$105,CB$72:CB$105,"")</f>
        <v>-60</v>
      </c>
      <c r="CC30" s="41">
        <f>+_xlfn.XLOOKUP($C30,$C$72:$C$105,CC$72:CC$105,"")</f>
        <v>180</v>
      </c>
      <c r="CD30" s="41">
        <f>+_xlfn.XLOOKUP($C30,$C$72:$C$105,CD$72:CD$105,"")</f>
        <v>-20</v>
      </c>
      <c r="CE30" s="41">
        <f>+_xlfn.XLOOKUP($C30,$C$72:$C$105,CE$72:CE$105,"")</f>
        <v>-40</v>
      </c>
      <c r="CF30" s="41" t="str">
        <f>+_xlfn.XLOOKUP($C30,$C$72:$C$105,CF$72:CF$105,"")</f>
        <v/>
      </c>
      <c r="CG30" s="41">
        <f>+_xlfn.XLOOKUP($C30,$C$72:$C$105,CG$72:CG$105,"")</f>
        <v>-60</v>
      </c>
      <c r="CH30" s="41" t="str">
        <f>+_xlfn.XLOOKUP($C30,$C$72:$C$105,CH$72:CH$105,"")</f>
        <v/>
      </c>
      <c r="CI30" s="41">
        <f>+_xlfn.XLOOKUP($C30,$C$72:$C$105,CI$72:CI$105,"")</f>
        <v>-30</v>
      </c>
      <c r="CJ30" s="41" t="str">
        <f>+_xlfn.XLOOKUP($C30,$C$72:$C$105,CJ$72:CJ$105,"")</f>
        <v/>
      </c>
      <c r="CK30" s="41">
        <f>+_xlfn.XLOOKUP($C30,$C$72:$C$105,CK$72:CK$105,"")</f>
        <v>-25</v>
      </c>
      <c r="CL30" s="41">
        <f>+_xlfn.XLOOKUP($C30,$C$72:$C$105,CL$72:CL$105,"")</f>
        <v>240</v>
      </c>
      <c r="CM30" s="41">
        <f>+_xlfn.XLOOKUP($C30,$C$72:$C$105,CM$72:CM$105,"")</f>
        <v>-60</v>
      </c>
      <c r="CN30" s="41" t="str">
        <f>+_xlfn.XLOOKUP($C30,$C$72:$C$105,CN$72:CN$105,"")</f>
        <v/>
      </c>
      <c r="CO30" s="42"/>
      <c r="CP30" s="29">
        <f>+_xlfn.XLOOKUP($C30,$C$72:$C$105,CP$72:CP$105,"")</f>
        <v>280.23</v>
      </c>
      <c r="CQ30" s="41"/>
      <c r="CR30" s="30">
        <f>+_xlfn.XLOOKUP($C30,$C$72:$C$105,CR$72:CR$105,"")</f>
        <v>0.16732446843447168</v>
      </c>
      <c r="CS30" s="31">
        <f>+_xlfn.XLOOKUP($C30,$C$72:$C$105,CS$72:CS$105,"")</f>
        <v>58</v>
      </c>
      <c r="CT30" s="31">
        <f>+_xlfn.XLOOKUP($C30,$C$72:$C$105,CT$72:CT$105,"")</f>
        <v>14</v>
      </c>
      <c r="CU30" s="30">
        <f>+_xlfn.XLOOKUP($C30,$C$72:$C$105,CU$72:CU$105,"")</f>
        <v>0.2413793103448276</v>
      </c>
      <c r="CV30" s="30">
        <f>+_xlfn.XLOOKUP($C30,$C$72:$C$105,CV$72:CV$105,"")</f>
        <v>0.22191271735811491</v>
      </c>
      <c r="CW30" s="30">
        <f>+_xlfn.XLOOKUP($C30,$C$72:$C$105,CW$72:CW$105,"")</f>
        <v>0.19010371439890031</v>
      </c>
      <c r="CX30" s="32">
        <f>+_xlfn.XLOOKUP($C30,$C$72:$C$105,CX$72:CX$105,"")</f>
        <v>4.8315517241379311</v>
      </c>
    </row>
    <row r="31" spans="2:102" ht="12.75" customHeight="1" x14ac:dyDescent="0.2">
      <c r="B31" s="83">
        <f t="shared" si="94"/>
        <v>4</v>
      </c>
      <c r="C31" s="33" t="str">
        <v>Vili Ohma</v>
      </c>
      <c r="D31" s="34" t="str">
        <f>+_xlfn.XLOOKUP($C31,$C$72:$C$105,D$72:D$105,"")</f>
        <v/>
      </c>
      <c r="E31" s="34" t="str">
        <f>+_xlfn.XLOOKUP($C31,$C$72:$C$105,E$72:E$105,"")</f>
        <v/>
      </c>
      <c r="F31" s="34" t="str">
        <f>+_xlfn.XLOOKUP($C31,$C$72:$C$105,F$72:F$105,"")</f>
        <v/>
      </c>
      <c r="G31" s="34" t="str">
        <f>+_xlfn.XLOOKUP($C31,$C$72:$C$105,G$72:G$105,"")</f>
        <v/>
      </c>
      <c r="H31" s="34" t="str">
        <f>+_xlfn.XLOOKUP($C31,$C$72:$C$105,H$72:H$105,"")</f>
        <v/>
      </c>
      <c r="I31" s="34" t="str">
        <f>+_xlfn.XLOOKUP($C31,$C$72:$C$105,I$72:I$105,"")</f>
        <v/>
      </c>
      <c r="J31" s="34" t="str">
        <f>+_xlfn.XLOOKUP($C31,$C$72:$C$105,J$72:J$105,"")</f>
        <v/>
      </c>
      <c r="K31" s="34" t="str">
        <f>+_xlfn.XLOOKUP($C31,$C$72:$C$105,K$72:K$105,"")</f>
        <v/>
      </c>
      <c r="L31" s="34" t="str">
        <f>+_xlfn.XLOOKUP($C31,$C$72:$C$105,L$72:L$105,"")</f>
        <v/>
      </c>
      <c r="M31" s="34" t="str">
        <f>+_xlfn.XLOOKUP($C31,$C$72:$C$105,M$72:M$105,"")</f>
        <v/>
      </c>
      <c r="N31" s="34" t="str">
        <f>+_xlfn.XLOOKUP($C31,$C$72:$C$105,N$72:N$105,"")</f>
        <v/>
      </c>
      <c r="O31" s="34" t="str">
        <f>+_xlfn.XLOOKUP($C31,$C$72:$C$105,O$72:O$105,"")</f>
        <v/>
      </c>
      <c r="P31" s="34" t="str">
        <f>+_xlfn.XLOOKUP($C31,$C$72:$C$105,P$72:P$105,"")</f>
        <v/>
      </c>
      <c r="Q31" s="34" t="str">
        <f>+_xlfn.XLOOKUP($C31,$C$72:$C$105,Q$72:Q$105,"")</f>
        <v/>
      </c>
      <c r="R31" s="34" t="str">
        <f>+_xlfn.XLOOKUP($C31,$C$72:$C$105,R$72:R$105,"")</f>
        <v/>
      </c>
      <c r="S31" s="34" t="str">
        <f>+_xlfn.XLOOKUP($C31,$C$72:$C$105,S$72:S$105,"")</f>
        <v/>
      </c>
      <c r="T31" s="34" t="str">
        <f>+_xlfn.XLOOKUP($C31,$C$72:$C$105,T$72:T$105,"")</f>
        <v/>
      </c>
      <c r="U31" s="34" t="str">
        <f>+_xlfn.XLOOKUP($C31,$C$72:$C$105,U$72:U$105,"")</f>
        <v/>
      </c>
      <c r="V31" s="34" t="str">
        <f>+_xlfn.XLOOKUP($C31,$C$72:$C$105,V$72:V$105,"")</f>
        <v/>
      </c>
      <c r="W31" s="34" t="str">
        <f>+_xlfn.XLOOKUP($C31,$C$72:$C$105,W$72:W$105,"")</f>
        <v/>
      </c>
      <c r="X31" s="34" t="str">
        <f>+_xlfn.XLOOKUP($C31,$C$72:$C$105,X$72:X$105,"")</f>
        <v/>
      </c>
      <c r="Y31" s="34" t="str">
        <f>+_xlfn.XLOOKUP($C31,$C$72:$C$105,Y$72:Y$105,"")</f>
        <v/>
      </c>
      <c r="Z31" s="34" t="str">
        <f>+_xlfn.XLOOKUP($C31,$C$72:$C$105,Z$72:Z$105,"")</f>
        <v/>
      </c>
      <c r="AA31" s="34" t="str">
        <f>+_xlfn.XLOOKUP($C31,$C$72:$C$105,AA$72:AA$105,"")</f>
        <v/>
      </c>
      <c r="AB31" s="34" t="str">
        <f>+_xlfn.XLOOKUP($C31,$C$72:$C$105,AB$72:AB$105,"")</f>
        <v/>
      </c>
      <c r="AC31" s="34" t="str">
        <f>+_xlfn.XLOOKUP($C31,$C$72:$C$105,AC$72:AC$105,"")</f>
        <v/>
      </c>
      <c r="AD31" s="34" t="str">
        <f>+_xlfn.XLOOKUP($C31,$C$72:$C$105,AD$72:AD$105,"")</f>
        <v/>
      </c>
      <c r="AE31" s="34" t="str">
        <f>+_xlfn.XLOOKUP($C31,$C$72:$C$105,AE$72:AE$105,"")</f>
        <v/>
      </c>
      <c r="AF31" s="34" t="str">
        <f>+_xlfn.XLOOKUP($C31,$C$72:$C$105,AF$72:AF$105,"")</f>
        <v/>
      </c>
      <c r="AG31" s="34" t="str">
        <f>+_xlfn.XLOOKUP($C31,$C$72:$C$105,AG$72:AG$105,"")</f>
        <v/>
      </c>
      <c r="AH31" s="34" t="str">
        <f>+_xlfn.XLOOKUP($C31,$C$72:$C$105,AH$72:AH$105,"")</f>
        <v/>
      </c>
      <c r="AI31" s="34" t="str">
        <f>+_xlfn.XLOOKUP($C31,$C$72:$C$105,AI$72:AI$105,"")</f>
        <v/>
      </c>
      <c r="AJ31" s="34" t="str">
        <f>+_xlfn.XLOOKUP($C31,$C$72:$C$105,AJ$72:AJ$105,"")</f>
        <v/>
      </c>
      <c r="AK31" s="34" t="str">
        <f>+_xlfn.XLOOKUP($C31,$C$72:$C$105,AK$72:AK$105,"")</f>
        <v/>
      </c>
      <c r="AL31" s="34" t="str">
        <f>+_xlfn.XLOOKUP($C31,$C$72:$C$105,AL$72:AL$105,"")</f>
        <v/>
      </c>
      <c r="AM31" s="34" t="str">
        <f>+_xlfn.XLOOKUP($C31,$C$72:$C$105,AM$72:AM$105,"")</f>
        <v/>
      </c>
      <c r="AN31" s="34" t="str">
        <f>+_xlfn.XLOOKUP($C31,$C$72:$C$105,AN$72:AN$105,"")</f>
        <v/>
      </c>
      <c r="AO31" s="34" t="str">
        <f>+_xlfn.XLOOKUP($C31,$C$72:$C$105,AO$72:AO$105,"")</f>
        <v/>
      </c>
      <c r="AP31" s="34" t="str">
        <f>+_xlfn.XLOOKUP($C31,$C$72:$C$105,AP$72:AP$105,"")</f>
        <v/>
      </c>
      <c r="AQ31" s="34" t="str">
        <f>+_xlfn.XLOOKUP($C31,$C$72:$C$105,AQ$72:AQ$105,"")</f>
        <v/>
      </c>
      <c r="AR31" s="34" t="str">
        <f>+_xlfn.XLOOKUP($C31,$C$72:$C$105,AR$72:AR$105,"")</f>
        <v/>
      </c>
      <c r="AS31" s="34" t="str">
        <f>+_xlfn.XLOOKUP($C31,$C$72:$C$105,AS$72:AS$105,"")</f>
        <v/>
      </c>
      <c r="AT31" s="34" t="str">
        <f>+_xlfn.XLOOKUP($C31,$C$72:$C$105,AT$72:AT$105,"")</f>
        <v/>
      </c>
      <c r="AU31" s="34" t="str">
        <f>+_xlfn.XLOOKUP($C31,$C$72:$C$105,AU$72:AU$105,"")</f>
        <v/>
      </c>
      <c r="AV31" s="34" t="str">
        <f>+_xlfn.XLOOKUP($C31,$C$72:$C$105,AV$72:AV$105,"")</f>
        <v/>
      </c>
      <c r="AW31" s="34" t="str">
        <f>+_xlfn.XLOOKUP($C31,$C$72:$C$105,AW$72:AW$105,"")</f>
        <v/>
      </c>
      <c r="AX31" s="34" t="str">
        <f>+_xlfn.XLOOKUP($C31,$C$72:$C$105,AX$72:AX$105,"")</f>
        <v/>
      </c>
      <c r="AY31" s="34" t="str">
        <f>+_xlfn.XLOOKUP($C31,$C$72:$C$105,AY$72:AY$105,"")</f>
        <v/>
      </c>
      <c r="AZ31" s="34" t="str">
        <f>+_xlfn.XLOOKUP($C31,$C$72:$C$105,AZ$72:AZ$105,"")</f>
        <v/>
      </c>
      <c r="BA31" s="34" t="str">
        <f>+_xlfn.XLOOKUP($C31,$C$72:$C$105,BA$72:BA$105,"")</f>
        <v/>
      </c>
      <c r="BB31" s="34" t="str">
        <f>+_xlfn.XLOOKUP($C31,$C$72:$C$105,BB$72:BB$105,"")</f>
        <v/>
      </c>
      <c r="BC31" s="34" t="str">
        <f>+_xlfn.XLOOKUP($C31,$C$72:$C$105,BC$72:BC$105,"")</f>
        <v/>
      </c>
      <c r="BD31" s="34" t="str">
        <f>+_xlfn.XLOOKUP($C31,$C$72:$C$105,BD$72:BD$105,"")</f>
        <v/>
      </c>
      <c r="BE31" s="34" t="str">
        <f>+_xlfn.XLOOKUP($C31,$C$72:$C$105,BE$72:BE$105,"")</f>
        <v/>
      </c>
      <c r="BF31" s="34" t="str">
        <f>+_xlfn.XLOOKUP($C31,$C$72:$C$105,BF$72:BF$105,"")</f>
        <v/>
      </c>
      <c r="BG31" s="34" t="str">
        <f>+_xlfn.XLOOKUP($C31,$C$72:$C$105,BG$72:BG$105,"")</f>
        <v/>
      </c>
      <c r="BH31" s="34" t="str">
        <f>+_xlfn.XLOOKUP($C31,$C$72:$C$105,BH$72:BH$105,"")</f>
        <v/>
      </c>
      <c r="BI31" s="34" t="str">
        <f>+_xlfn.XLOOKUP($C31,$C$72:$C$105,BI$72:BI$105,"")</f>
        <v/>
      </c>
      <c r="BJ31" s="34" t="str">
        <f>+_xlfn.XLOOKUP($C31,$C$72:$C$105,BJ$72:BJ$105,"")</f>
        <v/>
      </c>
      <c r="BK31" s="34" t="str">
        <f>+_xlfn.XLOOKUP($C31,$C$72:$C$105,BK$72:BK$105,"")</f>
        <v/>
      </c>
      <c r="BL31" s="34" t="str">
        <f>+_xlfn.XLOOKUP($C31,$C$72:$C$105,BL$72:BL$105,"")</f>
        <v/>
      </c>
      <c r="BM31" s="34" t="str">
        <f>+_xlfn.XLOOKUP($C31,$C$72:$C$105,BM$72:BM$105,"")</f>
        <v/>
      </c>
      <c r="BN31" s="34" t="str">
        <f>+_xlfn.XLOOKUP($C31,$C$72:$C$105,BN$72:BN$105,"")</f>
        <v/>
      </c>
      <c r="BO31" s="34" t="str">
        <f>+_xlfn.XLOOKUP($C31,$C$72:$C$105,BO$72:BO$105,"")</f>
        <v/>
      </c>
      <c r="BP31" s="34" t="str">
        <f>+_xlfn.XLOOKUP($C31,$C$72:$C$105,BP$72:BP$105,"")</f>
        <v/>
      </c>
      <c r="BQ31" s="34" t="str">
        <f>+_xlfn.XLOOKUP($C31,$C$72:$C$105,BQ$72:BQ$105,"")</f>
        <v/>
      </c>
      <c r="BR31" s="34" t="str">
        <f>+_xlfn.XLOOKUP($C31,$C$72:$C$105,BR$72:BR$105,"")</f>
        <v/>
      </c>
      <c r="BS31" s="34" t="str">
        <f>+_xlfn.XLOOKUP($C31,$C$72:$C$105,BS$72:BS$105,"")</f>
        <v/>
      </c>
      <c r="BT31" s="34" t="str">
        <f>+_xlfn.XLOOKUP($C31,$C$72:$C$105,BT$72:BT$105,"")</f>
        <v/>
      </c>
      <c r="BU31" s="34" t="str">
        <f>+_xlfn.XLOOKUP($C31,$C$72:$C$105,BU$72:BU$105,"")</f>
        <v/>
      </c>
      <c r="BV31" s="34" t="str">
        <f>+_xlfn.XLOOKUP($C31,$C$72:$C$105,BV$72:BV$105,"")</f>
        <v/>
      </c>
      <c r="BW31" s="34" t="str">
        <f>+_xlfn.XLOOKUP($C31,$C$72:$C$105,BW$72:BW$105,"")</f>
        <v/>
      </c>
      <c r="BX31" s="34" t="str">
        <f>+_xlfn.XLOOKUP($C31,$C$72:$C$105,BX$72:BX$105,"")</f>
        <v/>
      </c>
      <c r="BY31" s="34" t="str">
        <f>+_xlfn.XLOOKUP($C31,$C$72:$C$105,BY$72:BY$105,"")</f>
        <v/>
      </c>
      <c r="BZ31" s="34" t="str">
        <f>+_xlfn.XLOOKUP($C31,$C$72:$C$105,BZ$72:BZ$105,"")</f>
        <v/>
      </c>
      <c r="CA31" s="34" t="str">
        <f>+_xlfn.XLOOKUP($C31,$C$72:$C$105,CA$72:CA$105,"")</f>
        <v/>
      </c>
      <c r="CB31" s="34" t="str">
        <f>+_xlfn.XLOOKUP($C31,$C$72:$C$105,CB$72:CB$105,"")</f>
        <v/>
      </c>
      <c r="CC31" s="34" t="str">
        <f>+_xlfn.XLOOKUP($C31,$C$72:$C$105,CC$72:CC$105,"")</f>
        <v/>
      </c>
      <c r="CD31" s="34" t="str">
        <f>+_xlfn.XLOOKUP($C31,$C$72:$C$105,CD$72:CD$105,"")</f>
        <v/>
      </c>
      <c r="CE31" s="34" t="str">
        <f>+_xlfn.XLOOKUP($C31,$C$72:$C$105,CE$72:CE$105,"")</f>
        <v/>
      </c>
      <c r="CF31" s="34" t="str">
        <f>+_xlfn.XLOOKUP($C31,$C$72:$C$105,CF$72:CF$105,"")</f>
        <v/>
      </c>
      <c r="CG31" s="34">
        <f>+_xlfn.XLOOKUP($C31,$C$72:$C$105,CG$72:CG$105,"")</f>
        <v>240</v>
      </c>
      <c r="CH31" s="34" t="str">
        <f>+_xlfn.XLOOKUP($C31,$C$72:$C$105,CH$72:CH$105,"")</f>
        <v/>
      </c>
      <c r="CI31" s="34" t="str">
        <f>+_xlfn.XLOOKUP($C31,$C$72:$C$105,CI$72:CI$105,"")</f>
        <v/>
      </c>
      <c r="CJ31" s="34" t="str">
        <f>+_xlfn.XLOOKUP($C31,$C$72:$C$105,CJ$72:CJ$105,"")</f>
        <v/>
      </c>
      <c r="CK31" s="34" t="str">
        <f>+_xlfn.XLOOKUP($C31,$C$72:$C$105,CK$72:CK$105,"")</f>
        <v/>
      </c>
      <c r="CL31" s="34" t="str">
        <f>+_xlfn.XLOOKUP($C31,$C$72:$C$105,CL$72:CL$105,"")</f>
        <v/>
      </c>
      <c r="CM31" s="34" t="str">
        <f>+_xlfn.XLOOKUP($C31,$C$72:$C$105,CM$72:CM$105,"")</f>
        <v/>
      </c>
      <c r="CN31" s="34" t="str">
        <f>+_xlfn.XLOOKUP($C31,$C$72:$C$105,CN$72:CN$105,"")</f>
        <v/>
      </c>
      <c r="CO31" s="35"/>
      <c r="CP31" s="36">
        <f>+_xlfn.XLOOKUP($C31,$C$72:$C$105,CP$72:CP$105,"")</f>
        <v>240</v>
      </c>
      <c r="CQ31" s="34"/>
      <c r="CR31" s="37">
        <f>+_xlfn.XLOOKUP($C31,$C$72:$C$105,CR$72:CR$105,"")</f>
        <v>8</v>
      </c>
      <c r="CS31" s="38">
        <f>+_xlfn.XLOOKUP($C31,$C$72:$C$105,CS$72:CS$105,"")</f>
        <v>1</v>
      </c>
      <c r="CT31" s="38">
        <f>+_xlfn.XLOOKUP($C31,$C$72:$C$105,CT$72:CT$105,"")</f>
        <v>1</v>
      </c>
      <c r="CU31" s="37">
        <f>+_xlfn.XLOOKUP($C31,$C$72:$C$105,CU$72:CU$105,"")</f>
        <v>1</v>
      </c>
      <c r="CV31" s="37">
        <f>+_xlfn.XLOOKUP($C31,$C$72:$C$105,CV$72:CV$105,"")</f>
        <v>1</v>
      </c>
      <c r="CW31" s="37">
        <f>+_xlfn.XLOOKUP($C31,$C$72:$C$105,CW$72:CW$105,"")</f>
        <v>0.1111111111111111</v>
      </c>
      <c r="CX31" s="39">
        <f>+_xlfn.XLOOKUP($C31,$C$72:$C$105,CX$72:CX$105,"")</f>
        <v>240</v>
      </c>
    </row>
    <row r="32" spans="2:102" ht="12.75" customHeight="1" x14ac:dyDescent="0.2">
      <c r="B32" s="84">
        <f t="shared" si="94"/>
        <v>5</v>
      </c>
      <c r="C32" s="40" t="str">
        <v>Joonas Rasa</v>
      </c>
      <c r="D32" s="41">
        <f>+_xlfn.XLOOKUP($C32,$C$72:$C$105,D$72:D$105,"")</f>
        <v>40</v>
      </c>
      <c r="E32" s="41">
        <f>+_xlfn.XLOOKUP($C32,$C$72:$C$105,E$72:E$105,"")</f>
        <v>-10</v>
      </c>
      <c r="F32" s="41">
        <f>+_xlfn.XLOOKUP($C32,$C$72:$C$105,F$72:F$105,"")</f>
        <v>-20</v>
      </c>
      <c r="G32" s="41">
        <f>+_xlfn.XLOOKUP($C32,$C$72:$C$105,G$72:G$105,"")</f>
        <v>-20</v>
      </c>
      <c r="H32" s="41" t="str">
        <f>+_xlfn.XLOOKUP($C32,$C$72:$C$105,H$72:H$105,"")</f>
        <v/>
      </c>
      <c r="I32" s="41">
        <f>+_xlfn.XLOOKUP($C32,$C$72:$C$105,I$72:I$105,"")</f>
        <v>-15</v>
      </c>
      <c r="J32" s="41" t="str">
        <f>+_xlfn.XLOOKUP($C32,$C$72:$C$105,J$72:J$105,"")</f>
        <v/>
      </c>
      <c r="K32" s="41">
        <f>+_xlfn.XLOOKUP($C32,$C$72:$C$105,K$72:K$105,"")</f>
        <v>-30</v>
      </c>
      <c r="L32" s="41" t="str">
        <f>+_xlfn.XLOOKUP($C32,$C$72:$C$105,L$72:L$105,"")</f>
        <v/>
      </c>
      <c r="M32" s="41" t="str">
        <f>+_xlfn.XLOOKUP($C32,$C$72:$C$105,M$72:M$105,"")</f>
        <v/>
      </c>
      <c r="N32" s="41" t="str">
        <f>+_xlfn.XLOOKUP($C32,$C$72:$C$105,N$72:N$105,"")</f>
        <v/>
      </c>
      <c r="O32" s="41" t="str">
        <f>+_xlfn.XLOOKUP($C32,$C$72:$C$105,O$72:O$105,"")</f>
        <v/>
      </c>
      <c r="P32" s="41" t="str">
        <f>+_xlfn.XLOOKUP($C32,$C$72:$C$105,P$72:P$105,"")</f>
        <v/>
      </c>
      <c r="Q32" s="41">
        <f>+_xlfn.XLOOKUP($C32,$C$72:$C$105,Q$72:Q$105,"")</f>
        <v>105</v>
      </c>
      <c r="R32" s="41">
        <f>+_xlfn.XLOOKUP($C32,$C$72:$C$105,R$72:R$105,"")</f>
        <v>-15</v>
      </c>
      <c r="S32" s="41" t="str">
        <f>+_xlfn.XLOOKUP($C32,$C$72:$C$105,S$72:S$105,"")</f>
        <v/>
      </c>
      <c r="T32" s="41">
        <f>+_xlfn.XLOOKUP($C32,$C$72:$C$105,T$72:T$105,"")</f>
        <v>-15</v>
      </c>
      <c r="U32" s="41">
        <f>+_xlfn.XLOOKUP($C32,$C$72:$C$105,U$72:U$105,"")</f>
        <v>-30</v>
      </c>
      <c r="V32" s="41" t="str">
        <f>+_xlfn.XLOOKUP($C32,$C$72:$C$105,V$72:V$105,"")</f>
        <v/>
      </c>
      <c r="W32" s="41">
        <f>+_xlfn.XLOOKUP($C32,$C$72:$C$105,W$72:W$105,"")</f>
        <v>90</v>
      </c>
      <c r="X32" s="41" t="str">
        <f>+_xlfn.XLOOKUP($C32,$C$72:$C$105,X$72:X$105,"")</f>
        <v/>
      </c>
      <c r="Y32" s="41" t="str">
        <f>+_xlfn.XLOOKUP($C32,$C$72:$C$105,Y$72:Y$105,"")</f>
        <v/>
      </c>
      <c r="Z32" s="41" t="str">
        <f>+_xlfn.XLOOKUP($C32,$C$72:$C$105,Z$72:Z$105,"")</f>
        <v/>
      </c>
      <c r="AA32" s="41" t="str">
        <f>+_xlfn.XLOOKUP($C32,$C$72:$C$105,AA$72:AA$105,"")</f>
        <v/>
      </c>
      <c r="AB32" s="41" t="str">
        <f>+_xlfn.XLOOKUP($C32,$C$72:$C$105,AB$72:AB$105,"")</f>
        <v/>
      </c>
      <c r="AC32" s="41" t="str">
        <f>+_xlfn.XLOOKUP($C32,$C$72:$C$105,AC$72:AC$105,"")</f>
        <v/>
      </c>
      <c r="AD32" s="41" t="str">
        <f>+_xlfn.XLOOKUP($C32,$C$72:$C$105,AD$72:AD$105,"")</f>
        <v/>
      </c>
      <c r="AE32" s="41" t="str">
        <f>+_xlfn.XLOOKUP($C32,$C$72:$C$105,AE$72:AE$105,"")</f>
        <v/>
      </c>
      <c r="AF32" s="41" t="str">
        <f>+_xlfn.XLOOKUP($C32,$C$72:$C$105,AF$72:AF$105,"")</f>
        <v/>
      </c>
      <c r="AG32" s="41" t="str">
        <f>+_xlfn.XLOOKUP($C32,$C$72:$C$105,AG$72:AG$105,"")</f>
        <v/>
      </c>
      <c r="AH32" s="41" t="str">
        <f>+_xlfn.XLOOKUP($C32,$C$72:$C$105,AH$72:AH$105,"")</f>
        <v/>
      </c>
      <c r="AI32" s="41">
        <f>+_xlfn.XLOOKUP($C32,$C$72:$C$105,AI$72:AI$105,"")</f>
        <v>75</v>
      </c>
      <c r="AJ32" s="41">
        <f>+_xlfn.XLOOKUP($C32,$C$72:$C$105,AJ$72:AJ$105,"")</f>
        <v>-30</v>
      </c>
      <c r="AK32" s="41">
        <f>+_xlfn.XLOOKUP($C32,$C$72:$C$105,AK$72:AK$105,"")</f>
        <v>-20</v>
      </c>
      <c r="AL32" s="41" t="str">
        <f>+_xlfn.XLOOKUP($C32,$C$72:$C$105,AL$72:AL$105,"")</f>
        <v/>
      </c>
      <c r="AM32" s="41" t="str">
        <f>+_xlfn.XLOOKUP($C32,$C$72:$C$105,AM$72:AM$105,"")</f>
        <v/>
      </c>
      <c r="AN32" s="41" t="str">
        <f>+_xlfn.XLOOKUP($C32,$C$72:$C$105,AN$72:AN$105,"")</f>
        <v/>
      </c>
      <c r="AO32" s="41" t="str">
        <f>+_xlfn.XLOOKUP($C32,$C$72:$C$105,AO$72:AO$105,"")</f>
        <v/>
      </c>
      <c r="AP32" s="41" t="str">
        <f>+_xlfn.XLOOKUP($C32,$C$72:$C$105,AP$72:AP$105,"")</f>
        <v/>
      </c>
      <c r="AQ32" s="41" t="str">
        <f>+_xlfn.XLOOKUP($C32,$C$72:$C$105,AQ$72:AQ$105,"")</f>
        <v/>
      </c>
      <c r="AR32" s="41" t="str">
        <f>+_xlfn.XLOOKUP($C32,$C$72:$C$105,AR$72:AR$105,"")</f>
        <v/>
      </c>
      <c r="AS32" s="41">
        <f>+_xlfn.XLOOKUP($C32,$C$72:$C$105,AS$72:AS$105,"")</f>
        <v>-40</v>
      </c>
      <c r="AT32" s="41" t="str">
        <f>+_xlfn.XLOOKUP($C32,$C$72:$C$105,AT$72:AT$105,"")</f>
        <v/>
      </c>
      <c r="AU32" s="41" t="str">
        <f>+_xlfn.XLOOKUP($C32,$C$72:$C$105,AU$72:AU$105,"")</f>
        <v/>
      </c>
      <c r="AV32" s="41" t="str">
        <f>+_xlfn.XLOOKUP($C32,$C$72:$C$105,AV$72:AV$105,"")</f>
        <v/>
      </c>
      <c r="AW32" s="41" t="str">
        <f>+_xlfn.XLOOKUP($C32,$C$72:$C$105,AW$72:AW$105,"")</f>
        <v/>
      </c>
      <c r="AX32" s="41">
        <f>+_xlfn.XLOOKUP($C32,$C$72:$C$105,AX$72:AX$105,"")</f>
        <v>-15</v>
      </c>
      <c r="AY32" s="41">
        <f>+_xlfn.XLOOKUP($C32,$C$72:$C$105,AY$72:AY$105,"")</f>
        <v>-15</v>
      </c>
      <c r="AZ32" s="41">
        <f>+_xlfn.XLOOKUP($C32,$C$72:$C$105,AZ$72:AZ$105,"")</f>
        <v>-40</v>
      </c>
      <c r="BA32" s="41" t="str">
        <f>+_xlfn.XLOOKUP($C32,$C$72:$C$105,BA$72:BA$105,"")</f>
        <v/>
      </c>
      <c r="BB32" s="41">
        <f>+_xlfn.XLOOKUP($C32,$C$72:$C$105,BB$72:BB$105,"")</f>
        <v>8</v>
      </c>
      <c r="BC32" s="41" t="str">
        <f>+_xlfn.XLOOKUP($C32,$C$72:$C$105,BC$72:BC$105,"")</f>
        <v/>
      </c>
      <c r="BD32" s="41" t="str">
        <f>+_xlfn.XLOOKUP($C32,$C$72:$C$105,BD$72:BD$105,"")</f>
        <v/>
      </c>
      <c r="BE32" s="41" t="str">
        <f>+_xlfn.XLOOKUP($C32,$C$72:$C$105,BE$72:BE$105,"")</f>
        <v/>
      </c>
      <c r="BF32" s="41" t="str">
        <f>+_xlfn.XLOOKUP($C32,$C$72:$C$105,BF$72:BF$105,"")</f>
        <v/>
      </c>
      <c r="BG32" s="41" t="str">
        <f>+_xlfn.XLOOKUP($C32,$C$72:$C$105,BG$72:BG$105,"")</f>
        <v/>
      </c>
      <c r="BH32" s="41">
        <f>+_xlfn.XLOOKUP($C32,$C$72:$C$105,BH$72:BH$105,"")</f>
        <v>-20</v>
      </c>
      <c r="BI32" s="41" t="str">
        <f>+_xlfn.XLOOKUP($C32,$C$72:$C$105,BI$72:BI$105,"")</f>
        <v/>
      </c>
      <c r="BJ32" s="41">
        <f>+_xlfn.XLOOKUP($C32,$C$72:$C$105,BJ$72:BJ$105,"")</f>
        <v>120</v>
      </c>
      <c r="BK32" s="41" t="str">
        <f>+_xlfn.XLOOKUP($C32,$C$72:$C$105,BK$72:BK$105,"")</f>
        <v/>
      </c>
      <c r="BL32" s="41">
        <f>+_xlfn.XLOOKUP($C32,$C$72:$C$105,BL$72:BL$105,"")</f>
        <v>-20</v>
      </c>
      <c r="BM32" s="41" t="str">
        <f>+_xlfn.XLOOKUP($C32,$C$72:$C$105,BM$72:BM$105,"")</f>
        <v/>
      </c>
      <c r="BN32" s="41" t="str">
        <f>+_xlfn.XLOOKUP($C32,$C$72:$C$105,BN$72:BN$105,"")</f>
        <v/>
      </c>
      <c r="BO32" s="41" t="str">
        <f>+_xlfn.XLOOKUP($C32,$C$72:$C$105,BO$72:BO$105,"")</f>
        <v/>
      </c>
      <c r="BP32" s="41">
        <f>+_xlfn.XLOOKUP($C32,$C$72:$C$105,BP$72:BP$105,"")</f>
        <v>236</v>
      </c>
      <c r="BQ32" s="41" t="str">
        <f>+_xlfn.XLOOKUP($C32,$C$72:$C$105,BQ$72:BQ$105,"")</f>
        <v/>
      </c>
      <c r="BR32" s="41" t="str">
        <f>+_xlfn.XLOOKUP($C32,$C$72:$C$105,BR$72:BR$105,"")</f>
        <v/>
      </c>
      <c r="BS32" s="41">
        <f>+_xlfn.XLOOKUP($C32,$C$72:$C$105,BS$72:BS$105,"")</f>
        <v>44.870000000000005</v>
      </c>
      <c r="BT32" s="41">
        <f>+_xlfn.XLOOKUP($C32,$C$72:$C$105,BT$72:BT$105,"")</f>
        <v>0</v>
      </c>
      <c r="BU32" s="41">
        <f>+_xlfn.XLOOKUP($C32,$C$72:$C$105,BU$72:BU$105,"")</f>
        <v>-20</v>
      </c>
      <c r="BV32" s="41">
        <f>+_xlfn.XLOOKUP($C32,$C$72:$C$105,BV$72:BV$105,"")</f>
        <v>-40</v>
      </c>
      <c r="BW32" s="41" t="str">
        <f>+_xlfn.XLOOKUP($C32,$C$72:$C$105,BW$72:BW$105,"")</f>
        <v/>
      </c>
      <c r="BX32" s="41">
        <f>+_xlfn.XLOOKUP($C32,$C$72:$C$105,BX$72:BX$105,"")</f>
        <v>-90</v>
      </c>
      <c r="BY32" s="41">
        <f>+_xlfn.XLOOKUP($C32,$C$72:$C$105,BY$72:BY$105,"")</f>
        <v>-25</v>
      </c>
      <c r="BZ32" s="41" t="str">
        <f>+_xlfn.XLOOKUP($C32,$C$72:$C$105,BZ$72:BZ$105,"")</f>
        <v/>
      </c>
      <c r="CA32" s="41">
        <f>+_xlfn.XLOOKUP($C32,$C$72:$C$105,CA$72:CA$105,"")</f>
        <v>-20</v>
      </c>
      <c r="CB32" s="41" t="str">
        <f>+_xlfn.XLOOKUP($C32,$C$72:$C$105,CB$72:CB$105,"")</f>
        <v/>
      </c>
      <c r="CC32" s="41" t="str">
        <f>+_xlfn.XLOOKUP($C32,$C$72:$C$105,CC$72:CC$105,"")</f>
        <v/>
      </c>
      <c r="CD32" s="41" t="str">
        <f>+_xlfn.XLOOKUP($C32,$C$72:$C$105,CD$72:CD$105,"")</f>
        <v/>
      </c>
      <c r="CE32" s="41" t="str">
        <f>+_xlfn.XLOOKUP($C32,$C$72:$C$105,CE$72:CE$105,"")</f>
        <v/>
      </c>
      <c r="CF32" s="41">
        <f>+_xlfn.XLOOKUP($C32,$C$72:$C$105,CF$72:CF$105,"")</f>
        <v>-25</v>
      </c>
      <c r="CG32" s="41" t="str">
        <f>+_xlfn.XLOOKUP($C32,$C$72:$C$105,CG$72:CG$105,"")</f>
        <v/>
      </c>
      <c r="CH32" s="41">
        <f>+_xlfn.XLOOKUP($C32,$C$72:$C$105,CH$72:CH$105,"")</f>
        <v>18</v>
      </c>
      <c r="CI32" s="41">
        <f>+_xlfn.XLOOKUP($C32,$C$72:$C$105,CI$72:CI$105,"")</f>
        <v>150</v>
      </c>
      <c r="CJ32" s="41" t="str">
        <f>+_xlfn.XLOOKUP($C32,$C$72:$C$105,CJ$72:CJ$105,"")</f>
        <v/>
      </c>
      <c r="CK32" s="41" t="str">
        <f>+_xlfn.XLOOKUP($C32,$C$72:$C$105,CK$72:CK$105,"")</f>
        <v/>
      </c>
      <c r="CL32" s="41">
        <f>+_xlfn.XLOOKUP($C32,$C$72:$C$105,CL$72:CL$105,"")</f>
        <v>-90</v>
      </c>
      <c r="CM32" s="41" t="str">
        <f>+_xlfn.XLOOKUP($C32,$C$72:$C$105,CM$72:CM$105,"")</f>
        <v/>
      </c>
      <c r="CN32" s="41" t="str">
        <f>+_xlfn.XLOOKUP($C32,$C$72:$C$105,CN$72:CN$105,"")</f>
        <v/>
      </c>
      <c r="CO32" s="42"/>
      <c r="CP32" s="29">
        <f>+_xlfn.XLOOKUP($C32,$C$72:$C$105,CP$72:CP$105,"")</f>
        <v>221.86999999999989</v>
      </c>
      <c r="CQ32" s="41"/>
      <c r="CR32" s="30">
        <f>+_xlfn.XLOOKUP($C32,$C$72:$C$105,CR$72:CR$105,"")</f>
        <v>0.22076616915422864</v>
      </c>
      <c r="CS32" s="31">
        <f>+_xlfn.XLOOKUP($C32,$C$72:$C$105,CS$72:CS$105,"")</f>
        <v>34</v>
      </c>
      <c r="CT32" s="31">
        <f>+_xlfn.XLOOKUP($C32,$C$72:$C$105,CT$72:CT$105,"")</f>
        <v>11</v>
      </c>
      <c r="CU32" s="30">
        <f>+_xlfn.XLOOKUP($C32,$C$72:$C$105,CU$72:CU$105,"")</f>
        <v>0.3235294117647059</v>
      </c>
      <c r="CV32" s="30">
        <f>+_xlfn.XLOOKUP($C32,$C$72:$C$105,CV$72:CV$105,"")</f>
        <v>0.20882893617021275</v>
      </c>
      <c r="CW32" s="30">
        <f>+_xlfn.XLOOKUP($C32,$C$72:$C$105,CW$72:CW$105,"")</f>
        <v>0.17106382978723406</v>
      </c>
      <c r="CX32" s="32">
        <f>+_xlfn.XLOOKUP($C32,$C$72:$C$105,CX$72:CX$105,"")</f>
        <v>6.5255882352941148</v>
      </c>
    </row>
    <row r="33" spans="2:102" ht="12.75" customHeight="1" x14ac:dyDescent="0.2">
      <c r="B33" s="83">
        <f t="shared" si="94"/>
        <v>6</v>
      </c>
      <c r="C33" s="33" t="str">
        <v>Mauno Malmivaara</v>
      </c>
      <c r="D33" s="34" t="str">
        <f>+_xlfn.XLOOKUP($C33,$C$72:$C$105,D$72:D$105,"")</f>
        <v/>
      </c>
      <c r="E33" s="34" t="str">
        <f>+_xlfn.XLOOKUP($C33,$C$72:$C$105,E$72:E$105,"")</f>
        <v/>
      </c>
      <c r="F33" s="34" t="str">
        <f>+_xlfn.XLOOKUP($C33,$C$72:$C$105,F$72:F$105,"")</f>
        <v/>
      </c>
      <c r="G33" s="34" t="str">
        <f>+_xlfn.XLOOKUP($C33,$C$72:$C$105,G$72:G$105,"")</f>
        <v/>
      </c>
      <c r="H33" s="34" t="str">
        <f>+_xlfn.XLOOKUP($C33,$C$72:$C$105,H$72:H$105,"")</f>
        <v/>
      </c>
      <c r="I33" s="34" t="str">
        <f>+_xlfn.XLOOKUP($C33,$C$72:$C$105,I$72:I$105,"")</f>
        <v/>
      </c>
      <c r="J33" s="34" t="str">
        <f>+_xlfn.XLOOKUP($C33,$C$72:$C$105,J$72:J$105,"")</f>
        <v/>
      </c>
      <c r="K33" s="34" t="str">
        <f>+_xlfn.XLOOKUP($C33,$C$72:$C$105,K$72:K$105,"")</f>
        <v/>
      </c>
      <c r="L33" s="34" t="str">
        <f>+_xlfn.XLOOKUP($C33,$C$72:$C$105,L$72:L$105,"")</f>
        <v/>
      </c>
      <c r="M33" s="34" t="str">
        <f>+_xlfn.XLOOKUP($C33,$C$72:$C$105,M$72:M$105,"")</f>
        <v/>
      </c>
      <c r="N33" s="34" t="str">
        <f>+_xlfn.XLOOKUP($C33,$C$72:$C$105,N$72:N$105,"")</f>
        <v/>
      </c>
      <c r="O33" s="34" t="str">
        <f>+_xlfn.XLOOKUP($C33,$C$72:$C$105,O$72:O$105,"")</f>
        <v/>
      </c>
      <c r="P33" s="34" t="str">
        <f>+_xlfn.XLOOKUP($C33,$C$72:$C$105,P$72:P$105,"")</f>
        <v/>
      </c>
      <c r="Q33" s="34" t="str">
        <f>+_xlfn.XLOOKUP($C33,$C$72:$C$105,Q$72:Q$105,"")</f>
        <v/>
      </c>
      <c r="R33" s="34" t="str">
        <f>+_xlfn.XLOOKUP($C33,$C$72:$C$105,R$72:R$105,"")</f>
        <v/>
      </c>
      <c r="S33" s="34" t="str">
        <f>+_xlfn.XLOOKUP($C33,$C$72:$C$105,S$72:S$105,"")</f>
        <v/>
      </c>
      <c r="T33" s="34" t="str">
        <f>+_xlfn.XLOOKUP($C33,$C$72:$C$105,T$72:T$105,"")</f>
        <v/>
      </c>
      <c r="U33" s="34" t="str">
        <f>+_xlfn.XLOOKUP($C33,$C$72:$C$105,U$72:U$105,"")</f>
        <v/>
      </c>
      <c r="V33" s="34" t="str">
        <f>+_xlfn.XLOOKUP($C33,$C$72:$C$105,V$72:V$105,"")</f>
        <v/>
      </c>
      <c r="W33" s="34" t="str">
        <f>+_xlfn.XLOOKUP($C33,$C$72:$C$105,W$72:W$105,"")</f>
        <v/>
      </c>
      <c r="X33" s="34" t="str">
        <f>+_xlfn.XLOOKUP($C33,$C$72:$C$105,X$72:X$105,"")</f>
        <v/>
      </c>
      <c r="Y33" s="34" t="str">
        <f>+_xlfn.XLOOKUP($C33,$C$72:$C$105,Y$72:Y$105,"")</f>
        <v/>
      </c>
      <c r="Z33" s="34" t="str">
        <f>+_xlfn.XLOOKUP($C33,$C$72:$C$105,Z$72:Z$105,"")</f>
        <v/>
      </c>
      <c r="AA33" s="34" t="str">
        <f>+_xlfn.XLOOKUP($C33,$C$72:$C$105,AA$72:AA$105,"")</f>
        <v/>
      </c>
      <c r="AB33" s="34" t="str">
        <f>+_xlfn.XLOOKUP($C33,$C$72:$C$105,AB$72:AB$105,"")</f>
        <v/>
      </c>
      <c r="AC33" s="34" t="str">
        <f>+_xlfn.XLOOKUP($C33,$C$72:$C$105,AC$72:AC$105,"")</f>
        <v/>
      </c>
      <c r="AD33" s="34" t="str">
        <f>+_xlfn.XLOOKUP($C33,$C$72:$C$105,AD$72:AD$105,"")</f>
        <v/>
      </c>
      <c r="AE33" s="34" t="str">
        <f>+_xlfn.XLOOKUP($C33,$C$72:$C$105,AE$72:AE$105,"")</f>
        <v/>
      </c>
      <c r="AF33" s="34" t="str">
        <f>+_xlfn.XLOOKUP($C33,$C$72:$C$105,AF$72:AF$105,"")</f>
        <v/>
      </c>
      <c r="AG33" s="34" t="str">
        <f>+_xlfn.XLOOKUP($C33,$C$72:$C$105,AG$72:AG$105,"")</f>
        <v/>
      </c>
      <c r="AH33" s="34" t="str">
        <f>+_xlfn.XLOOKUP($C33,$C$72:$C$105,AH$72:AH$105,"")</f>
        <v/>
      </c>
      <c r="AI33" s="34" t="str">
        <f>+_xlfn.XLOOKUP($C33,$C$72:$C$105,AI$72:AI$105,"")</f>
        <v/>
      </c>
      <c r="AJ33" s="34" t="str">
        <f>+_xlfn.XLOOKUP($C33,$C$72:$C$105,AJ$72:AJ$105,"")</f>
        <v/>
      </c>
      <c r="AK33" s="34" t="str">
        <f>+_xlfn.XLOOKUP($C33,$C$72:$C$105,AK$72:AK$105,"")</f>
        <v/>
      </c>
      <c r="AL33" s="34" t="str">
        <f>+_xlfn.XLOOKUP($C33,$C$72:$C$105,AL$72:AL$105,"")</f>
        <v/>
      </c>
      <c r="AM33" s="34" t="str">
        <f>+_xlfn.XLOOKUP($C33,$C$72:$C$105,AM$72:AM$105,"")</f>
        <v/>
      </c>
      <c r="AN33" s="34" t="str">
        <f>+_xlfn.XLOOKUP($C33,$C$72:$C$105,AN$72:AN$105,"")</f>
        <v/>
      </c>
      <c r="AO33" s="34" t="str">
        <f>+_xlfn.XLOOKUP($C33,$C$72:$C$105,AO$72:AO$105,"")</f>
        <v/>
      </c>
      <c r="AP33" s="34" t="str">
        <f>+_xlfn.XLOOKUP($C33,$C$72:$C$105,AP$72:AP$105,"")</f>
        <v/>
      </c>
      <c r="AQ33" s="34" t="str">
        <f>+_xlfn.XLOOKUP($C33,$C$72:$C$105,AQ$72:AQ$105,"")</f>
        <v/>
      </c>
      <c r="AR33" s="34" t="str">
        <f>+_xlfn.XLOOKUP($C33,$C$72:$C$105,AR$72:AR$105,"")</f>
        <v/>
      </c>
      <c r="AS33" s="34">
        <f>+_xlfn.XLOOKUP($C33,$C$72:$C$105,AS$72:AS$105,"")</f>
        <v>-40</v>
      </c>
      <c r="AT33" s="34" t="str">
        <f>+_xlfn.XLOOKUP($C33,$C$72:$C$105,AT$72:AT$105,"")</f>
        <v/>
      </c>
      <c r="AU33" s="34" t="str">
        <f>+_xlfn.XLOOKUP($C33,$C$72:$C$105,AU$72:AU$105,"")</f>
        <v/>
      </c>
      <c r="AV33" s="34" t="str">
        <f>+_xlfn.XLOOKUP($C33,$C$72:$C$105,AV$72:AV$105,"")</f>
        <v/>
      </c>
      <c r="AW33" s="34">
        <f>+_xlfn.XLOOKUP($C33,$C$72:$C$105,AW$72:AW$105,"")</f>
        <v>-30</v>
      </c>
      <c r="AX33" s="34" t="str">
        <f>+_xlfn.XLOOKUP($C33,$C$72:$C$105,AX$72:AX$105,"")</f>
        <v/>
      </c>
      <c r="AY33" s="34" t="str">
        <f>+_xlfn.XLOOKUP($C33,$C$72:$C$105,AY$72:AY$105,"")</f>
        <v/>
      </c>
      <c r="AZ33" s="34" t="str">
        <f>+_xlfn.XLOOKUP($C33,$C$72:$C$105,AZ$72:AZ$105,"")</f>
        <v/>
      </c>
      <c r="BA33" s="34" t="str">
        <f>+_xlfn.XLOOKUP($C33,$C$72:$C$105,BA$72:BA$105,"")</f>
        <v/>
      </c>
      <c r="BB33" s="34">
        <f>+_xlfn.XLOOKUP($C33,$C$72:$C$105,BB$72:BB$105,"")</f>
        <v>-40</v>
      </c>
      <c r="BC33" s="34" t="str">
        <f>+_xlfn.XLOOKUP($C33,$C$72:$C$105,BC$72:BC$105,"")</f>
        <v/>
      </c>
      <c r="BD33" s="34" t="str">
        <f>+_xlfn.XLOOKUP($C33,$C$72:$C$105,BD$72:BD$105,"")</f>
        <v/>
      </c>
      <c r="BE33" s="34" t="str">
        <f>+_xlfn.XLOOKUP($C33,$C$72:$C$105,BE$72:BE$105,"")</f>
        <v/>
      </c>
      <c r="BF33" s="34" t="str">
        <f>+_xlfn.XLOOKUP($C33,$C$72:$C$105,BF$72:BF$105,"")</f>
        <v/>
      </c>
      <c r="BG33" s="34" t="str">
        <f>+_xlfn.XLOOKUP($C33,$C$72:$C$105,BG$72:BG$105,"")</f>
        <v/>
      </c>
      <c r="BH33" s="34" t="str">
        <f>+_xlfn.XLOOKUP($C33,$C$72:$C$105,BH$72:BH$105,"")</f>
        <v/>
      </c>
      <c r="BI33" s="34" t="str">
        <f>+_xlfn.XLOOKUP($C33,$C$72:$C$105,BI$72:BI$105,"")</f>
        <v/>
      </c>
      <c r="BJ33" s="34">
        <f>+_xlfn.XLOOKUP($C33,$C$72:$C$105,BJ$72:BJ$105,"")</f>
        <v>-100</v>
      </c>
      <c r="BK33" s="34" t="str">
        <f>+_xlfn.XLOOKUP($C33,$C$72:$C$105,BK$72:BK$105,"")</f>
        <v/>
      </c>
      <c r="BL33" s="34">
        <f>+_xlfn.XLOOKUP($C33,$C$72:$C$105,BL$72:BL$105,"")</f>
        <v>-20</v>
      </c>
      <c r="BM33" s="34" t="str">
        <f>+_xlfn.XLOOKUP($C33,$C$72:$C$105,BM$72:BM$105,"")</f>
        <v/>
      </c>
      <c r="BN33" s="34" t="str">
        <f>+_xlfn.XLOOKUP($C33,$C$72:$C$105,BN$72:BN$105,"")</f>
        <v/>
      </c>
      <c r="BO33" s="34" t="str">
        <f>+_xlfn.XLOOKUP($C33,$C$72:$C$105,BO$72:BO$105,"")</f>
        <v/>
      </c>
      <c r="BP33" s="34">
        <f>+_xlfn.XLOOKUP($C33,$C$72:$C$105,BP$72:BP$105,"")</f>
        <v>-100</v>
      </c>
      <c r="BQ33" s="34" t="str">
        <f>+_xlfn.XLOOKUP($C33,$C$72:$C$105,BQ$72:BQ$105,"")</f>
        <v/>
      </c>
      <c r="BR33" s="34" t="str">
        <f>+_xlfn.XLOOKUP($C33,$C$72:$C$105,BR$72:BR$105,"")</f>
        <v/>
      </c>
      <c r="BS33" s="34" t="str">
        <f>+_xlfn.XLOOKUP($C33,$C$72:$C$105,BS$72:BS$105,"")</f>
        <v/>
      </c>
      <c r="BT33" s="34">
        <f>+_xlfn.XLOOKUP($C33,$C$72:$C$105,BT$72:BT$105,"")</f>
        <v>-40</v>
      </c>
      <c r="BU33" s="34">
        <f>+_xlfn.XLOOKUP($C33,$C$72:$C$105,BU$72:BU$105,"")</f>
        <v>0</v>
      </c>
      <c r="BV33" s="34" t="str">
        <f>+_xlfn.XLOOKUP($C33,$C$72:$C$105,BV$72:BV$105,"")</f>
        <v/>
      </c>
      <c r="BW33" s="34">
        <f>+_xlfn.XLOOKUP($C33,$C$72:$C$105,BW$72:BW$105,"")</f>
        <v>120</v>
      </c>
      <c r="BX33" s="34">
        <f>+_xlfn.XLOOKUP($C33,$C$72:$C$105,BX$72:BX$105,"")</f>
        <v>142.5</v>
      </c>
      <c r="BY33" s="34">
        <f>+_xlfn.XLOOKUP($C33,$C$72:$C$105,BY$72:BY$105,"")</f>
        <v>-50</v>
      </c>
      <c r="BZ33" s="34" t="str">
        <f>+_xlfn.XLOOKUP($C33,$C$72:$C$105,BZ$72:BZ$105,"")</f>
        <v/>
      </c>
      <c r="CA33" s="34">
        <f>+_xlfn.XLOOKUP($C33,$C$72:$C$105,CA$72:CA$105,"")</f>
        <v>88</v>
      </c>
      <c r="CB33" s="34">
        <f>+_xlfn.XLOOKUP($C33,$C$72:$C$105,CB$72:CB$105,"")</f>
        <v>-20</v>
      </c>
      <c r="CC33" s="34">
        <f>+_xlfn.XLOOKUP($C33,$C$72:$C$105,CC$72:CC$105,"")</f>
        <v>-40</v>
      </c>
      <c r="CD33" s="34">
        <f>+_xlfn.XLOOKUP($C33,$C$72:$C$105,CD$72:CD$105,"")</f>
        <v>4</v>
      </c>
      <c r="CE33" s="34">
        <f>+_xlfn.XLOOKUP($C33,$C$72:$C$105,CE$72:CE$105,"")</f>
        <v>24</v>
      </c>
      <c r="CF33" s="34" t="str">
        <f>+_xlfn.XLOOKUP($C33,$C$72:$C$105,CF$72:CF$105,"")</f>
        <v/>
      </c>
      <c r="CG33" s="34" t="str">
        <f>+_xlfn.XLOOKUP($C33,$C$72:$C$105,CG$72:CG$105,"")</f>
        <v/>
      </c>
      <c r="CH33" s="34" t="str">
        <f>+_xlfn.XLOOKUP($C33,$C$72:$C$105,CH$72:CH$105,"")</f>
        <v/>
      </c>
      <c r="CI33" s="34">
        <f>+_xlfn.XLOOKUP($C33,$C$72:$C$105,CI$72:CI$105,"")</f>
        <v>-60</v>
      </c>
      <c r="CJ33" s="34" t="str">
        <f>+_xlfn.XLOOKUP($C33,$C$72:$C$105,CJ$72:CJ$105,"")</f>
        <v/>
      </c>
      <c r="CK33" s="34" t="str">
        <f>+_xlfn.XLOOKUP($C33,$C$72:$C$105,CK$72:CK$105,"")</f>
        <v/>
      </c>
      <c r="CL33" s="34">
        <f>+_xlfn.XLOOKUP($C33,$C$72:$C$105,CL$72:CL$105,"")</f>
        <v>-60</v>
      </c>
      <c r="CM33" s="34">
        <f>+_xlfn.XLOOKUP($C33,$C$72:$C$105,CM$72:CM$105,"")</f>
        <v>180</v>
      </c>
      <c r="CN33" s="34">
        <f>+_xlfn.XLOOKUP($C33,$C$72:$C$105,CN$72:CN$105,"")</f>
        <v>234</v>
      </c>
      <c r="CO33" s="35"/>
      <c r="CP33" s="36">
        <f>+_xlfn.XLOOKUP($C33,$C$72:$C$105,CP$72:CP$105,"")</f>
        <v>192.5</v>
      </c>
      <c r="CQ33" s="34"/>
      <c r="CR33" s="37">
        <f>+_xlfn.XLOOKUP($C33,$C$72:$C$105,CR$72:CR$105,"")</f>
        <v>0.21629213483146059</v>
      </c>
      <c r="CS33" s="38">
        <f>+_xlfn.XLOOKUP($C33,$C$72:$C$105,CS$72:CS$105,"")</f>
        <v>20</v>
      </c>
      <c r="CT33" s="38">
        <f>+_xlfn.XLOOKUP($C33,$C$72:$C$105,CT$72:CT$105,"")</f>
        <v>8</v>
      </c>
      <c r="CU33" s="37">
        <f>+_xlfn.XLOOKUP($C33,$C$72:$C$105,CU$72:CU$105,"")</f>
        <v>0.4</v>
      </c>
      <c r="CV33" s="37">
        <f>+_xlfn.XLOOKUP($C33,$C$72:$C$105,CV$72:CV$105,"")</f>
        <v>0.22575599582898853</v>
      </c>
      <c r="CW33" s="37">
        <f>+_xlfn.XLOOKUP($C33,$C$72:$C$105,CW$72:CW$105,"")</f>
        <v>0.18561001042752867</v>
      </c>
      <c r="CX33" s="39">
        <f>+_xlfn.XLOOKUP($C33,$C$72:$C$105,CX$72:CX$105,"")</f>
        <v>9.625</v>
      </c>
    </row>
    <row r="34" spans="2:102" ht="12.75" customHeight="1" x14ac:dyDescent="0.2">
      <c r="B34" s="84">
        <f t="shared" si="94"/>
        <v>7</v>
      </c>
      <c r="C34" s="40" t="str">
        <v>Otto Palkama</v>
      </c>
      <c r="D34" s="41" t="str">
        <f>+_xlfn.XLOOKUP($C34,$C$72:$C$105,D$72:D$105,"")</f>
        <v/>
      </c>
      <c r="E34" s="41" t="str">
        <f>+_xlfn.XLOOKUP($C34,$C$72:$C$105,E$72:E$105,"")</f>
        <v/>
      </c>
      <c r="F34" s="41" t="str">
        <f>+_xlfn.XLOOKUP($C34,$C$72:$C$105,F$72:F$105,"")</f>
        <v/>
      </c>
      <c r="G34" s="41" t="str">
        <f>+_xlfn.XLOOKUP($C34,$C$72:$C$105,G$72:G$105,"")</f>
        <v/>
      </c>
      <c r="H34" s="41" t="str">
        <f>+_xlfn.XLOOKUP($C34,$C$72:$C$105,H$72:H$105,"")</f>
        <v/>
      </c>
      <c r="I34" s="41" t="str">
        <f>+_xlfn.XLOOKUP($C34,$C$72:$C$105,I$72:I$105,"")</f>
        <v/>
      </c>
      <c r="J34" s="41" t="str">
        <f>+_xlfn.XLOOKUP($C34,$C$72:$C$105,J$72:J$105,"")</f>
        <v/>
      </c>
      <c r="K34" s="41" t="str">
        <f>+_xlfn.XLOOKUP($C34,$C$72:$C$105,K$72:K$105,"")</f>
        <v/>
      </c>
      <c r="L34" s="41" t="str">
        <f>+_xlfn.XLOOKUP($C34,$C$72:$C$105,L$72:L$105,"")</f>
        <v/>
      </c>
      <c r="M34" s="41" t="str">
        <f>+_xlfn.XLOOKUP($C34,$C$72:$C$105,M$72:M$105,"")</f>
        <v/>
      </c>
      <c r="N34" s="41" t="str">
        <f>+_xlfn.XLOOKUP($C34,$C$72:$C$105,N$72:N$105,"")</f>
        <v/>
      </c>
      <c r="O34" s="41" t="str">
        <f>+_xlfn.XLOOKUP($C34,$C$72:$C$105,O$72:O$105,"")</f>
        <v/>
      </c>
      <c r="P34" s="41" t="str">
        <f>+_xlfn.XLOOKUP($C34,$C$72:$C$105,P$72:P$105,"")</f>
        <v/>
      </c>
      <c r="Q34" s="41" t="str">
        <f>+_xlfn.XLOOKUP($C34,$C$72:$C$105,Q$72:Q$105,"")</f>
        <v/>
      </c>
      <c r="R34" s="41" t="str">
        <f>+_xlfn.XLOOKUP($C34,$C$72:$C$105,R$72:R$105,"")</f>
        <v/>
      </c>
      <c r="S34" s="41" t="str">
        <f>+_xlfn.XLOOKUP($C34,$C$72:$C$105,S$72:S$105,"")</f>
        <v/>
      </c>
      <c r="T34" s="41" t="str">
        <f>+_xlfn.XLOOKUP($C34,$C$72:$C$105,T$72:T$105,"")</f>
        <v/>
      </c>
      <c r="U34" s="41" t="str">
        <f>+_xlfn.XLOOKUP($C34,$C$72:$C$105,U$72:U$105,"")</f>
        <v/>
      </c>
      <c r="V34" s="41" t="str">
        <f>+_xlfn.XLOOKUP($C34,$C$72:$C$105,V$72:V$105,"")</f>
        <v/>
      </c>
      <c r="W34" s="41" t="str">
        <f>+_xlfn.XLOOKUP($C34,$C$72:$C$105,W$72:W$105,"")</f>
        <v/>
      </c>
      <c r="X34" s="41" t="str">
        <f>+_xlfn.XLOOKUP($C34,$C$72:$C$105,X$72:X$105,"")</f>
        <v/>
      </c>
      <c r="Y34" s="41" t="str">
        <f>+_xlfn.XLOOKUP($C34,$C$72:$C$105,Y$72:Y$105,"")</f>
        <v/>
      </c>
      <c r="Z34" s="41" t="str">
        <f>+_xlfn.XLOOKUP($C34,$C$72:$C$105,Z$72:Z$105,"")</f>
        <v/>
      </c>
      <c r="AA34" s="41" t="str">
        <f>+_xlfn.XLOOKUP($C34,$C$72:$C$105,AA$72:AA$105,"")</f>
        <v/>
      </c>
      <c r="AB34" s="41" t="str">
        <f>+_xlfn.XLOOKUP($C34,$C$72:$C$105,AB$72:AB$105,"")</f>
        <v/>
      </c>
      <c r="AC34" s="41" t="str">
        <f>+_xlfn.XLOOKUP($C34,$C$72:$C$105,AC$72:AC$105,"")</f>
        <v/>
      </c>
      <c r="AD34" s="41" t="str">
        <f>+_xlfn.XLOOKUP($C34,$C$72:$C$105,AD$72:AD$105,"")</f>
        <v/>
      </c>
      <c r="AE34" s="41" t="str">
        <f>+_xlfn.XLOOKUP($C34,$C$72:$C$105,AE$72:AE$105,"")</f>
        <v/>
      </c>
      <c r="AF34" s="41" t="str">
        <f>+_xlfn.XLOOKUP($C34,$C$72:$C$105,AF$72:AF$105,"")</f>
        <v/>
      </c>
      <c r="AG34" s="41" t="str">
        <f>+_xlfn.XLOOKUP($C34,$C$72:$C$105,AG$72:AG$105,"")</f>
        <v/>
      </c>
      <c r="AH34" s="41" t="str">
        <f>+_xlfn.XLOOKUP($C34,$C$72:$C$105,AH$72:AH$105,"")</f>
        <v/>
      </c>
      <c r="AI34" s="41" t="str">
        <f>+_xlfn.XLOOKUP($C34,$C$72:$C$105,AI$72:AI$105,"")</f>
        <v/>
      </c>
      <c r="AJ34" s="41" t="str">
        <f>+_xlfn.XLOOKUP($C34,$C$72:$C$105,AJ$72:AJ$105,"")</f>
        <v/>
      </c>
      <c r="AK34" s="41" t="str">
        <f>+_xlfn.XLOOKUP($C34,$C$72:$C$105,AK$72:AK$105,"")</f>
        <v/>
      </c>
      <c r="AL34" s="41" t="str">
        <f>+_xlfn.XLOOKUP($C34,$C$72:$C$105,AL$72:AL$105,"")</f>
        <v/>
      </c>
      <c r="AM34" s="41" t="str">
        <f>+_xlfn.XLOOKUP($C34,$C$72:$C$105,AM$72:AM$105,"")</f>
        <v/>
      </c>
      <c r="AN34" s="41" t="str">
        <f>+_xlfn.XLOOKUP($C34,$C$72:$C$105,AN$72:AN$105,"")</f>
        <v/>
      </c>
      <c r="AO34" s="41" t="str">
        <f>+_xlfn.XLOOKUP($C34,$C$72:$C$105,AO$72:AO$105,"")</f>
        <v/>
      </c>
      <c r="AP34" s="41" t="str">
        <f>+_xlfn.XLOOKUP($C34,$C$72:$C$105,AP$72:AP$105,"")</f>
        <v/>
      </c>
      <c r="AQ34" s="41" t="str">
        <f>+_xlfn.XLOOKUP($C34,$C$72:$C$105,AQ$72:AQ$105,"")</f>
        <v/>
      </c>
      <c r="AR34" s="41" t="str">
        <f>+_xlfn.XLOOKUP($C34,$C$72:$C$105,AR$72:AR$105,"")</f>
        <v/>
      </c>
      <c r="AS34" s="41">
        <f>+_xlfn.XLOOKUP($C34,$C$72:$C$105,AS$72:AS$105,"")</f>
        <v>154.375</v>
      </c>
      <c r="AT34" s="41" t="str">
        <f>+_xlfn.XLOOKUP($C34,$C$72:$C$105,AT$72:AT$105,"")</f>
        <v/>
      </c>
      <c r="AU34" s="41" t="str">
        <f>+_xlfn.XLOOKUP($C34,$C$72:$C$105,AU$72:AU$105,"")</f>
        <v/>
      </c>
      <c r="AV34" s="41" t="str">
        <f>+_xlfn.XLOOKUP($C34,$C$72:$C$105,AV$72:AV$105,"")</f>
        <v/>
      </c>
      <c r="AW34" s="41" t="str">
        <f>+_xlfn.XLOOKUP($C34,$C$72:$C$105,AW$72:AW$105,"")</f>
        <v/>
      </c>
      <c r="AX34" s="41" t="str">
        <f>+_xlfn.XLOOKUP($C34,$C$72:$C$105,AX$72:AX$105,"")</f>
        <v/>
      </c>
      <c r="AY34" s="41" t="str">
        <f>+_xlfn.XLOOKUP($C34,$C$72:$C$105,AY$72:AY$105,"")</f>
        <v/>
      </c>
      <c r="AZ34" s="41" t="str">
        <f>+_xlfn.XLOOKUP($C34,$C$72:$C$105,AZ$72:AZ$105,"")</f>
        <v/>
      </c>
      <c r="BA34" s="41" t="str">
        <f>+_xlfn.XLOOKUP($C34,$C$72:$C$105,BA$72:BA$105,"")</f>
        <v/>
      </c>
      <c r="BB34" s="41" t="str">
        <f>+_xlfn.XLOOKUP($C34,$C$72:$C$105,BB$72:BB$105,"")</f>
        <v/>
      </c>
      <c r="BC34" s="41" t="str">
        <f>+_xlfn.XLOOKUP($C34,$C$72:$C$105,BC$72:BC$105,"")</f>
        <v/>
      </c>
      <c r="BD34" s="41" t="str">
        <f>+_xlfn.XLOOKUP($C34,$C$72:$C$105,BD$72:BD$105,"")</f>
        <v/>
      </c>
      <c r="BE34" s="41" t="str">
        <f>+_xlfn.XLOOKUP($C34,$C$72:$C$105,BE$72:BE$105,"")</f>
        <v/>
      </c>
      <c r="BF34" s="41" t="str">
        <f>+_xlfn.XLOOKUP($C34,$C$72:$C$105,BF$72:BF$105,"")</f>
        <v/>
      </c>
      <c r="BG34" s="41" t="str">
        <f>+_xlfn.XLOOKUP($C34,$C$72:$C$105,BG$72:BG$105,"")</f>
        <v/>
      </c>
      <c r="BH34" s="41" t="str">
        <f>+_xlfn.XLOOKUP($C34,$C$72:$C$105,BH$72:BH$105,"")</f>
        <v/>
      </c>
      <c r="BI34" s="41" t="str">
        <f>+_xlfn.XLOOKUP($C34,$C$72:$C$105,BI$72:BI$105,"")</f>
        <v/>
      </c>
      <c r="BJ34" s="41" t="str">
        <f>+_xlfn.XLOOKUP($C34,$C$72:$C$105,BJ$72:BJ$105,"")</f>
        <v/>
      </c>
      <c r="BK34" s="41" t="str">
        <f>+_xlfn.XLOOKUP($C34,$C$72:$C$105,BK$72:BK$105,"")</f>
        <v/>
      </c>
      <c r="BL34" s="41" t="str">
        <f>+_xlfn.XLOOKUP($C34,$C$72:$C$105,BL$72:BL$105,"")</f>
        <v/>
      </c>
      <c r="BM34" s="41" t="str">
        <f>+_xlfn.XLOOKUP($C34,$C$72:$C$105,BM$72:BM$105,"")</f>
        <v/>
      </c>
      <c r="BN34" s="41" t="str">
        <f>+_xlfn.XLOOKUP($C34,$C$72:$C$105,BN$72:BN$105,"")</f>
        <v/>
      </c>
      <c r="BO34" s="41" t="str">
        <f>+_xlfn.XLOOKUP($C34,$C$72:$C$105,BO$72:BO$105,"")</f>
        <v/>
      </c>
      <c r="BP34" s="41" t="str">
        <f>+_xlfn.XLOOKUP($C34,$C$72:$C$105,BP$72:BP$105,"")</f>
        <v/>
      </c>
      <c r="BQ34" s="41" t="str">
        <f>+_xlfn.XLOOKUP($C34,$C$72:$C$105,BQ$72:BQ$105,"")</f>
        <v/>
      </c>
      <c r="BR34" s="41" t="str">
        <f>+_xlfn.XLOOKUP($C34,$C$72:$C$105,BR$72:BR$105,"")</f>
        <v/>
      </c>
      <c r="BS34" s="41" t="str">
        <f>+_xlfn.XLOOKUP($C34,$C$72:$C$105,BS$72:BS$105,"")</f>
        <v/>
      </c>
      <c r="BT34" s="41" t="str">
        <f>+_xlfn.XLOOKUP($C34,$C$72:$C$105,BT$72:BT$105,"")</f>
        <v/>
      </c>
      <c r="BU34" s="41" t="str">
        <f>+_xlfn.XLOOKUP($C34,$C$72:$C$105,BU$72:BU$105,"")</f>
        <v/>
      </c>
      <c r="BV34" s="41" t="str">
        <f>+_xlfn.XLOOKUP($C34,$C$72:$C$105,BV$72:BV$105,"")</f>
        <v/>
      </c>
      <c r="BW34" s="41" t="str">
        <f>+_xlfn.XLOOKUP($C34,$C$72:$C$105,BW$72:BW$105,"")</f>
        <v/>
      </c>
      <c r="BX34" s="41" t="str">
        <f>+_xlfn.XLOOKUP($C34,$C$72:$C$105,BX$72:BX$105,"")</f>
        <v/>
      </c>
      <c r="BY34" s="41" t="str">
        <f>+_xlfn.XLOOKUP($C34,$C$72:$C$105,BY$72:BY$105,"")</f>
        <v/>
      </c>
      <c r="BZ34" s="41" t="str">
        <f>+_xlfn.XLOOKUP($C34,$C$72:$C$105,BZ$72:BZ$105,"")</f>
        <v/>
      </c>
      <c r="CA34" s="41" t="str">
        <f>+_xlfn.XLOOKUP($C34,$C$72:$C$105,CA$72:CA$105,"")</f>
        <v/>
      </c>
      <c r="CB34" s="41" t="str">
        <f>+_xlfn.XLOOKUP($C34,$C$72:$C$105,CB$72:CB$105,"")</f>
        <v/>
      </c>
      <c r="CC34" s="41" t="str">
        <f>+_xlfn.XLOOKUP($C34,$C$72:$C$105,CC$72:CC$105,"")</f>
        <v/>
      </c>
      <c r="CD34" s="41" t="str">
        <f>+_xlfn.XLOOKUP($C34,$C$72:$C$105,CD$72:CD$105,"")</f>
        <v/>
      </c>
      <c r="CE34" s="41" t="str">
        <f>+_xlfn.XLOOKUP($C34,$C$72:$C$105,CE$72:CE$105,"")</f>
        <v/>
      </c>
      <c r="CF34" s="41" t="str">
        <f>+_xlfn.XLOOKUP($C34,$C$72:$C$105,CF$72:CF$105,"")</f>
        <v/>
      </c>
      <c r="CG34" s="41" t="str">
        <f>+_xlfn.XLOOKUP($C34,$C$72:$C$105,CG$72:CG$105,"")</f>
        <v/>
      </c>
      <c r="CH34" s="41" t="str">
        <f>+_xlfn.XLOOKUP($C34,$C$72:$C$105,CH$72:CH$105,"")</f>
        <v/>
      </c>
      <c r="CI34" s="41" t="str">
        <f>+_xlfn.XLOOKUP($C34,$C$72:$C$105,CI$72:CI$105,"")</f>
        <v/>
      </c>
      <c r="CJ34" s="41" t="str">
        <f>+_xlfn.XLOOKUP($C34,$C$72:$C$105,CJ$72:CJ$105,"")</f>
        <v/>
      </c>
      <c r="CK34" s="41" t="str">
        <f>+_xlfn.XLOOKUP($C34,$C$72:$C$105,CK$72:CK$105,"")</f>
        <v/>
      </c>
      <c r="CL34" s="41" t="str">
        <f>+_xlfn.XLOOKUP($C34,$C$72:$C$105,CL$72:CL$105,"")</f>
        <v/>
      </c>
      <c r="CM34" s="41" t="str">
        <f>+_xlfn.XLOOKUP($C34,$C$72:$C$105,CM$72:CM$105,"")</f>
        <v/>
      </c>
      <c r="CN34" s="41" t="str">
        <f>+_xlfn.XLOOKUP($C34,$C$72:$C$105,CN$72:CN$105,"")</f>
        <v/>
      </c>
      <c r="CO34" s="42"/>
      <c r="CP34" s="29">
        <f>+_xlfn.XLOOKUP($C34,$C$72:$C$105,CP$72:CP$105,"")</f>
        <v>154.375</v>
      </c>
      <c r="CQ34" s="41"/>
      <c r="CR34" s="30">
        <f>+_xlfn.XLOOKUP($C34,$C$72:$C$105,CR$72:CR$105,"")</f>
        <v>7.71875</v>
      </c>
      <c r="CS34" s="31">
        <f>+_xlfn.XLOOKUP($C34,$C$72:$C$105,CS$72:CS$105,"")</f>
        <v>1</v>
      </c>
      <c r="CT34" s="31">
        <f>+_xlfn.XLOOKUP($C34,$C$72:$C$105,CT$72:CT$105,"")</f>
        <v>1</v>
      </c>
      <c r="CU34" s="30">
        <f>+_xlfn.XLOOKUP($C34,$C$72:$C$105,CU$72:CU$105,"")</f>
        <v>1</v>
      </c>
      <c r="CV34" s="30">
        <f>+_xlfn.XLOOKUP($C34,$C$72:$C$105,CV$72:CV$105,"")</f>
        <v>0.544921875</v>
      </c>
      <c r="CW34" s="30">
        <f>+_xlfn.XLOOKUP($C34,$C$72:$C$105,CW$72:CW$105,"")</f>
        <v>6.25E-2</v>
      </c>
      <c r="CX34" s="32">
        <f>+_xlfn.XLOOKUP($C34,$C$72:$C$105,CX$72:CX$105,"")</f>
        <v>154.375</v>
      </c>
    </row>
    <row r="35" spans="2:102" ht="12.75" customHeight="1" x14ac:dyDescent="0.2">
      <c r="B35" s="83">
        <f t="shared" si="94"/>
        <v>8</v>
      </c>
      <c r="C35" s="33" t="str">
        <v>Heikki Jalo</v>
      </c>
      <c r="D35" s="34" t="str">
        <f>+_xlfn.XLOOKUP($C35,$C$72:$C$105,D$72:D$105,"")</f>
        <v/>
      </c>
      <c r="E35" s="34" t="str">
        <f>+_xlfn.XLOOKUP($C35,$C$72:$C$105,E$72:E$105,"")</f>
        <v/>
      </c>
      <c r="F35" s="34" t="str">
        <f>+_xlfn.XLOOKUP($C35,$C$72:$C$105,F$72:F$105,"")</f>
        <v/>
      </c>
      <c r="G35" s="34" t="str">
        <f>+_xlfn.XLOOKUP($C35,$C$72:$C$105,G$72:G$105,"")</f>
        <v/>
      </c>
      <c r="H35" s="34" t="str">
        <f>+_xlfn.XLOOKUP($C35,$C$72:$C$105,H$72:H$105,"")</f>
        <v/>
      </c>
      <c r="I35" s="34" t="str">
        <f>+_xlfn.XLOOKUP($C35,$C$72:$C$105,I$72:I$105,"")</f>
        <v/>
      </c>
      <c r="J35" s="34" t="str">
        <f>+_xlfn.XLOOKUP($C35,$C$72:$C$105,J$72:J$105,"")</f>
        <v/>
      </c>
      <c r="K35" s="34" t="str">
        <f>+_xlfn.XLOOKUP($C35,$C$72:$C$105,K$72:K$105,"")</f>
        <v/>
      </c>
      <c r="L35" s="34" t="str">
        <f>+_xlfn.XLOOKUP($C35,$C$72:$C$105,L$72:L$105,"")</f>
        <v/>
      </c>
      <c r="M35" s="34" t="str">
        <f>+_xlfn.XLOOKUP($C35,$C$72:$C$105,M$72:M$105,"")</f>
        <v/>
      </c>
      <c r="N35" s="34" t="str">
        <f>+_xlfn.XLOOKUP($C35,$C$72:$C$105,N$72:N$105,"")</f>
        <v/>
      </c>
      <c r="O35" s="34" t="str">
        <f>+_xlfn.XLOOKUP($C35,$C$72:$C$105,O$72:O$105,"")</f>
        <v/>
      </c>
      <c r="P35" s="34" t="str">
        <f>+_xlfn.XLOOKUP($C35,$C$72:$C$105,P$72:P$105,"")</f>
        <v/>
      </c>
      <c r="Q35" s="34" t="str">
        <f>+_xlfn.XLOOKUP($C35,$C$72:$C$105,Q$72:Q$105,"")</f>
        <v/>
      </c>
      <c r="R35" s="34" t="str">
        <f>+_xlfn.XLOOKUP($C35,$C$72:$C$105,R$72:R$105,"")</f>
        <v/>
      </c>
      <c r="S35" s="34" t="str">
        <f>+_xlfn.XLOOKUP($C35,$C$72:$C$105,S$72:S$105,"")</f>
        <v/>
      </c>
      <c r="T35" s="34" t="str">
        <f>+_xlfn.XLOOKUP($C35,$C$72:$C$105,T$72:T$105,"")</f>
        <v/>
      </c>
      <c r="U35" s="34" t="str">
        <f>+_xlfn.XLOOKUP($C35,$C$72:$C$105,U$72:U$105,"")</f>
        <v/>
      </c>
      <c r="V35" s="34" t="str">
        <f>+_xlfn.XLOOKUP($C35,$C$72:$C$105,V$72:V$105,"")</f>
        <v/>
      </c>
      <c r="W35" s="34" t="str">
        <f>+_xlfn.XLOOKUP($C35,$C$72:$C$105,W$72:W$105,"")</f>
        <v/>
      </c>
      <c r="X35" s="34" t="str">
        <f>+_xlfn.XLOOKUP($C35,$C$72:$C$105,X$72:X$105,"")</f>
        <v/>
      </c>
      <c r="Y35" s="34" t="str">
        <f>+_xlfn.XLOOKUP($C35,$C$72:$C$105,Y$72:Y$105,"")</f>
        <v/>
      </c>
      <c r="Z35" s="34" t="str">
        <f>+_xlfn.XLOOKUP($C35,$C$72:$C$105,Z$72:Z$105,"")</f>
        <v/>
      </c>
      <c r="AA35" s="34" t="str">
        <f>+_xlfn.XLOOKUP($C35,$C$72:$C$105,AA$72:AA$105,"")</f>
        <v/>
      </c>
      <c r="AB35" s="34" t="str">
        <f>+_xlfn.XLOOKUP($C35,$C$72:$C$105,AB$72:AB$105,"")</f>
        <v/>
      </c>
      <c r="AC35" s="34" t="str">
        <f>+_xlfn.XLOOKUP($C35,$C$72:$C$105,AC$72:AC$105,"")</f>
        <v/>
      </c>
      <c r="AD35" s="34" t="str">
        <f>+_xlfn.XLOOKUP($C35,$C$72:$C$105,AD$72:AD$105,"")</f>
        <v/>
      </c>
      <c r="AE35" s="34" t="str">
        <f>+_xlfn.XLOOKUP($C35,$C$72:$C$105,AE$72:AE$105,"")</f>
        <v/>
      </c>
      <c r="AF35" s="34" t="str">
        <f>+_xlfn.XLOOKUP($C35,$C$72:$C$105,AF$72:AF$105,"")</f>
        <v/>
      </c>
      <c r="AG35" s="34" t="str">
        <f>+_xlfn.XLOOKUP($C35,$C$72:$C$105,AG$72:AG$105,"")</f>
        <v/>
      </c>
      <c r="AH35" s="34" t="str">
        <f>+_xlfn.XLOOKUP($C35,$C$72:$C$105,AH$72:AH$105,"")</f>
        <v/>
      </c>
      <c r="AI35" s="34" t="str">
        <f>+_xlfn.XLOOKUP($C35,$C$72:$C$105,AI$72:AI$105,"")</f>
        <v/>
      </c>
      <c r="AJ35" s="34" t="str">
        <f>+_xlfn.XLOOKUP($C35,$C$72:$C$105,AJ$72:AJ$105,"")</f>
        <v/>
      </c>
      <c r="AK35" s="34" t="str">
        <f>+_xlfn.XLOOKUP($C35,$C$72:$C$105,AK$72:AK$105,"")</f>
        <v/>
      </c>
      <c r="AL35" s="34" t="str">
        <f>+_xlfn.XLOOKUP($C35,$C$72:$C$105,AL$72:AL$105,"")</f>
        <v/>
      </c>
      <c r="AM35" s="34" t="str">
        <f>+_xlfn.XLOOKUP($C35,$C$72:$C$105,AM$72:AM$105,"")</f>
        <v/>
      </c>
      <c r="AN35" s="34" t="str">
        <f>+_xlfn.XLOOKUP($C35,$C$72:$C$105,AN$72:AN$105,"")</f>
        <v/>
      </c>
      <c r="AO35" s="34" t="str">
        <f>+_xlfn.XLOOKUP($C35,$C$72:$C$105,AO$72:AO$105,"")</f>
        <v/>
      </c>
      <c r="AP35" s="34" t="str">
        <f>+_xlfn.XLOOKUP($C35,$C$72:$C$105,AP$72:AP$105,"")</f>
        <v/>
      </c>
      <c r="AQ35" s="34" t="str">
        <f>+_xlfn.XLOOKUP($C35,$C$72:$C$105,AQ$72:AQ$105,"")</f>
        <v/>
      </c>
      <c r="AR35" s="34" t="str">
        <f>+_xlfn.XLOOKUP($C35,$C$72:$C$105,AR$72:AR$105,"")</f>
        <v/>
      </c>
      <c r="AS35" s="34">
        <f>+_xlfn.XLOOKUP($C35,$C$72:$C$105,AS$72:AS$105,"")</f>
        <v>12</v>
      </c>
      <c r="AT35" s="34" t="str">
        <f>+_xlfn.XLOOKUP($C35,$C$72:$C$105,AT$72:AT$105,"")</f>
        <v/>
      </c>
      <c r="AU35" s="34" t="str">
        <f>+_xlfn.XLOOKUP($C35,$C$72:$C$105,AU$72:AU$105,"")</f>
        <v/>
      </c>
      <c r="AV35" s="34" t="str">
        <f>+_xlfn.XLOOKUP($C35,$C$72:$C$105,AV$72:AV$105,"")</f>
        <v/>
      </c>
      <c r="AW35" s="34">
        <f>+_xlfn.XLOOKUP($C35,$C$72:$C$105,AW$72:AW$105,"")</f>
        <v>-15</v>
      </c>
      <c r="AX35" s="34" t="str">
        <f>+_xlfn.XLOOKUP($C35,$C$72:$C$105,AX$72:AX$105,"")</f>
        <v/>
      </c>
      <c r="AY35" s="34" t="str">
        <f>+_xlfn.XLOOKUP($C35,$C$72:$C$105,AY$72:AY$105,"")</f>
        <v/>
      </c>
      <c r="AZ35" s="34" t="str">
        <f>+_xlfn.XLOOKUP($C35,$C$72:$C$105,AZ$72:AZ$105,"")</f>
        <v/>
      </c>
      <c r="BA35" s="34" t="str">
        <f>+_xlfn.XLOOKUP($C35,$C$72:$C$105,BA$72:BA$105,"")</f>
        <v/>
      </c>
      <c r="BB35" s="34">
        <f>+_xlfn.XLOOKUP($C35,$C$72:$C$105,BB$72:BB$105,"")</f>
        <v>72</v>
      </c>
      <c r="BC35" s="34" t="str">
        <f>+_xlfn.XLOOKUP($C35,$C$72:$C$105,BC$72:BC$105,"")</f>
        <v/>
      </c>
      <c r="BD35" s="34" t="str">
        <f>+_xlfn.XLOOKUP($C35,$C$72:$C$105,BD$72:BD$105,"")</f>
        <v/>
      </c>
      <c r="BE35" s="34" t="str">
        <f>+_xlfn.XLOOKUP($C35,$C$72:$C$105,BE$72:BE$105,"")</f>
        <v/>
      </c>
      <c r="BF35" s="34" t="str">
        <f>+_xlfn.XLOOKUP($C35,$C$72:$C$105,BF$72:BF$105,"")</f>
        <v/>
      </c>
      <c r="BG35" s="34" t="str">
        <f>+_xlfn.XLOOKUP($C35,$C$72:$C$105,BG$72:BG$105,"")</f>
        <v/>
      </c>
      <c r="BH35" s="34" t="str">
        <f>+_xlfn.XLOOKUP($C35,$C$72:$C$105,BH$72:BH$105,"")</f>
        <v/>
      </c>
      <c r="BI35" s="34" t="str">
        <f>+_xlfn.XLOOKUP($C35,$C$72:$C$105,BI$72:BI$105,"")</f>
        <v/>
      </c>
      <c r="BJ35" s="34">
        <f>+_xlfn.XLOOKUP($C35,$C$72:$C$105,BJ$72:BJ$105,"")</f>
        <v>0</v>
      </c>
      <c r="BK35" s="34" t="str">
        <f>+_xlfn.XLOOKUP($C35,$C$72:$C$105,BK$72:BK$105,"")</f>
        <v/>
      </c>
      <c r="BL35" s="34" t="str">
        <f>+_xlfn.XLOOKUP($C35,$C$72:$C$105,BL$72:BL$105,"")</f>
        <v/>
      </c>
      <c r="BM35" s="34" t="str">
        <f>+_xlfn.XLOOKUP($C35,$C$72:$C$105,BM$72:BM$105,"")</f>
        <v/>
      </c>
      <c r="BN35" s="34" t="str">
        <f>+_xlfn.XLOOKUP($C35,$C$72:$C$105,BN$72:BN$105,"")</f>
        <v/>
      </c>
      <c r="BO35" s="34" t="str">
        <f>+_xlfn.XLOOKUP($C35,$C$72:$C$105,BO$72:BO$105,"")</f>
        <v/>
      </c>
      <c r="BP35" s="34" t="str">
        <f>+_xlfn.XLOOKUP($C35,$C$72:$C$105,BP$72:BP$105,"")</f>
        <v/>
      </c>
      <c r="BQ35" s="34" t="str">
        <f>+_xlfn.XLOOKUP($C35,$C$72:$C$105,BQ$72:BQ$105,"")</f>
        <v/>
      </c>
      <c r="BR35" s="34" t="str">
        <f>+_xlfn.XLOOKUP($C35,$C$72:$C$105,BR$72:BR$105,"")</f>
        <v/>
      </c>
      <c r="BS35" s="34" t="str">
        <f>+_xlfn.XLOOKUP($C35,$C$72:$C$105,BS$72:BS$105,"")</f>
        <v/>
      </c>
      <c r="BT35" s="34" t="str">
        <f>+_xlfn.XLOOKUP($C35,$C$72:$C$105,BT$72:BT$105,"")</f>
        <v/>
      </c>
      <c r="BU35" s="34" t="str">
        <f>+_xlfn.XLOOKUP($C35,$C$72:$C$105,BU$72:BU$105,"")</f>
        <v/>
      </c>
      <c r="BV35" s="34" t="str">
        <f>+_xlfn.XLOOKUP($C35,$C$72:$C$105,BV$72:BV$105,"")</f>
        <v/>
      </c>
      <c r="BW35" s="34" t="str">
        <f>+_xlfn.XLOOKUP($C35,$C$72:$C$105,BW$72:BW$105,"")</f>
        <v/>
      </c>
      <c r="BX35" s="34" t="str">
        <f>+_xlfn.XLOOKUP($C35,$C$72:$C$105,BX$72:BX$105,"")</f>
        <v/>
      </c>
      <c r="BY35" s="34" t="str">
        <f>+_xlfn.XLOOKUP($C35,$C$72:$C$105,BY$72:BY$105,"")</f>
        <v/>
      </c>
      <c r="BZ35" s="34" t="str">
        <f>+_xlfn.XLOOKUP($C35,$C$72:$C$105,BZ$72:BZ$105,"")</f>
        <v/>
      </c>
      <c r="CA35" s="34" t="str">
        <f>+_xlfn.XLOOKUP($C35,$C$72:$C$105,CA$72:CA$105,"")</f>
        <v/>
      </c>
      <c r="CB35" s="34" t="str">
        <f>+_xlfn.XLOOKUP($C35,$C$72:$C$105,CB$72:CB$105,"")</f>
        <v/>
      </c>
      <c r="CC35" s="34" t="str">
        <f>+_xlfn.XLOOKUP($C35,$C$72:$C$105,CC$72:CC$105,"")</f>
        <v/>
      </c>
      <c r="CD35" s="34" t="str">
        <f>+_xlfn.XLOOKUP($C35,$C$72:$C$105,CD$72:CD$105,"")</f>
        <v/>
      </c>
      <c r="CE35" s="34" t="str">
        <f>+_xlfn.XLOOKUP($C35,$C$72:$C$105,CE$72:CE$105,"")</f>
        <v/>
      </c>
      <c r="CF35" s="34" t="str">
        <f>+_xlfn.XLOOKUP($C35,$C$72:$C$105,CF$72:CF$105,"")</f>
        <v/>
      </c>
      <c r="CG35" s="34" t="str">
        <f>+_xlfn.XLOOKUP($C35,$C$72:$C$105,CG$72:CG$105,"")</f>
        <v/>
      </c>
      <c r="CH35" s="34" t="str">
        <f>+_xlfn.XLOOKUP($C35,$C$72:$C$105,CH$72:CH$105,"")</f>
        <v/>
      </c>
      <c r="CI35" s="34" t="str">
        <f>+_xlfn.XLOOKUP($C35,$C$72:$C$105,CI$72:CI$105,"")</f>
        <v/>
      </c>
      <c r="CJ35" s="34" t="str">
        <f>+_xlfn.XLOOKUP($C35,$C$72:$C$105,CJ$72:CJ$105,"")</f>
        <v/>
      </c>
      <c r="CK35" s="34" t="str">
        <f>+_xlfn.XLOOKUP($C35,$C$72:$C$105,CK$72:CK$105,"")</f>
        <v/>
      </c>
      <c r="CL35" s="34" t="str">
        <f>+_xlfn.XLOOKUP($C35,$C$72:$C$105,CL$72:CL$105,"")</f>
        <v/>
      </c>
      <c r="CM35" s="34" t="str">
        <f>+_xlfn.XLOOKUP($C35,$C$72:$C$105,CM$72:CM$105,"")</f>
        <v/>
      </c>
      <c r="CN35" s="34" t="str">
        <f>+_xlfn.XLOOKUP($C35,$C$72:$C$105,CN$72:CN$105,"")</f>
        <v/>
      </c>
      <c r="CO35" s="35"/>
      <c r="CP35" s="36">
        <f>+_xlfn.XLOOKUP($C35,$C$72:$C$105,CP$72:CP$105,"")</f>
        <v>69</v>
      </c>
      <c r="CQ35" s="34"/>
      <c r="CR35" s="37">
        <f>+_xlfn.XLOOKUP($C35,$C$72:$C$105,CR$72:CR$105,"")</f>
        <v>0.51111111111111107</v>
      </c>
      <c r="CS35" s="38">
        <f>+_xlfn.XLOOKUP($C35,$C$72:$C$105,CS$72:CS$105,"")</f>
        <v>4</v>
      </c>
      <c r="CT35" s="38">
        <f>+_xlfn.XLOOKUP($C35,$C$72:$C$105,CT$72:CT$105,"")</f>
        <v>3</v>
      </c>
      <c r="CU35" s="37">
        <f>+_xlfn.XLOOKUP($C35,$C$72:$C$105,CU$72:CU$105,"")</f>
        <v>0.75</v>
      </c>
      <c r="CV35" s="37">
        <f>+_xlfn.XLOOKUP($C35,$C$72:$C$105,CV$72:CV$105,"")</f>
        <v>0.24285714285714285</v>
      </c>
      <c r="CW35" s="37">
        <f>+_xlfn.XLOOKUP($C35,$C$72:$C$105,CW$72:CW$105,"")</f>
        <v>0.16071428571428573</v>
      </c>
      <c r="CX35" s="39">
        <f>+_xlfn.XLOOKUP($C35,$C$72:$C$105,CX$72:CX$105,"")</f>
        <v>17.25</v>
      </c>
    </row>
    <row r="36" spans="2:102" ht="12.75" customHeight="1" x14ac:dyDescent="0.2">
      <c r="B36" s="84">
        <f t="shared" si="94"/>
        <v>9</v>
      </c>
      <c r="C36" s="40" t="str">
        <v>Kalle Armanto</v>
      </c>
      <c r="D36" s="41" t="str">
        <f>+_xlfn.XLOOKUP($C36,$C$72:$C$105,D$72:D$105,"")</f>
        <v/>
      </c>
      <c r="E36" s="41">
        <f>+_xlfn.XLOOKUP($C36,$C$72:$C$105,E$72:E$105,"")</f>
        <v>-10</v>
      </c>
      <c r="F36" s="41">
        <f>+_xlfn.XLOOKUP($C36,$C$72:$C$105,F$72:F$105,"")</f>
        <v>-10</v>
      </c>
      <c r="G36" s="41" t="str">
        <f>+_xlfn.XLOOKUP($C36,$C$72:$C$105,G$72:G$105,"")</f>
        <v/>
      </c>
      <c r="H36" s="41" t="str">
        <f>+_xlfn.XLOOKUP($C36,$C$72:$C$105,H$72:H$105,"")</f>
        <v/>
      </c>
      <c r="I36" s="41" t="str">
        <f>+_xlfn.XLOOKUP($C36,$C$72:$C$105,I$72:I$105,"")</f>
        <v/>
      </c>
      <c r="J36" s="41" t="str">
        <f>+_xlfn.XLOOKUP($C36,$C$72:$C$105,J$72:J$105,"")</f>
        <v/>
      </c>
      <c r="K36" s="41" t="str">
        <f>+_xlfn.XLOOKUP($C36,$C$72:$C$105,K$72:K$105,"")</f>
        <v/>
      </c>
      <c r="L36" s="41" t="str">
        <f>+_xlfn.XLOOKUP($C36,$C$72:$C$105,L$72:L$105,"")</f>
        <v/>
      </c>
      <c r="M36" s="41" t="str">
        <f>+_xlfn.XLOOKUP($C36,$C$72:$C$105,M$72:M$105,"")</f>
        <v/>
      </c>
      <c r="N36" s="41" t="str">
        <f>+_xlfn.XLOOKUP($C36,$C$72:$C$105,N$72:N$105,"")</f>
        <v/>
      </c>
      <c r="O36" s="41" t="str">
        <f>+_xlfn.XLOOKUP($C36,$C$72:$C$105,O$72:O$105,"")</f>
        <v/>
      </c>
      <c r="P36" s="41" t="str">
        <f>+_xlfn.XLOOKUP($C36,$C$72:$C$105,P$72:P$105,"")</f>
        <v/>
      </c>
      <c r="Q36" s="41">
        <f>+_xlfn.XLOOKUP($C36,$C$72:$C$105,Q$72:Q$105,"")</f>
        <v>-15</v>
      </c>
      <c r="R36" s="41" t="str">
        <f>+_xlfn.XLOOKUP($C36,$C$72:$C$105,R$72:R$105,"")</f>
        <v/>
      </c>
      <c r="S36" s="41" t="str">
        <f>+_xlfn.XLOOKUP($C36,$C$72:$C$105,S$72:S$105,"")</f>
        <v/>
      </c>
      <c r="T36" s="41" t="str">
        <f>+_xlfn.XLOOKUP($C36,$C$72:$C$105,T$72:T$105,"")</f>
        <v/>
      </c>
      <c r="U36" s="41" t="str">
        <f>+_xlfn.XLOOKUP($C36,$C$72:$C$105,U$72:U$105,"")</f>
        <v/>
      </c>
      <c r="V36" s="41" t="str">
        <f>+_xlfn.XLOOKUP($C36,$C$72:$C$105,V$72:V$105,"")</f>
        <v/>
      </c>
      <c r="W36" s="41" t="str">
        <f>+_xlfn.XLOOKUP($C36,$C$72:$C$105,W$72:W$105,"")</f>
        <v/>
      </c>
      <c r="X36" s="41" t="str">
        <f>+_xlfn.XLOOKUP($C36,$C$72:$C$105,X$72:X$105,"")</f>
        <v/>
      </c>
      <c r="Y36" s="41" t="str">
        <f>+_xlfn.XLOOKUP($C36,$C$72:$C$105,Y$72:Y$105,"")</f>
        <v/>
      </c>
      <c r="Z36" s="41" t="str">
        <f>+_xlfn.XLOOKUP($C36,$C$72:$C$105,Z$72:Z$105,"")</f>
        <v/>
      </c>
      <c r="AA36" s="41" t="str">
        <f>+_xlfn.XLOOKUP($C36,$C$72:$C$105,AA$72:AA$105,"")</f>
        <v/>
      </c>
      <c r="AB36" s="41" t="str">
        <f>+_xlfn.XLOOKUP($C36,$C$72:$C$105,AB$72:AB$105,"")</f>
        <v/>
      </c>
      <c r="AC36" s="41" t="str">
        <f>+_xlfn.XLOOKUP($C36,$C$72:$C$105,AC$72:AC$105,"")</f>
        <v/>
      </c>
      <c r="AD36" s="41" t="str">
        <f>+_xlfn.XLOOKUP($C36,$C$72:$C$105,AD$72:AD$105,"")</f>
        <v/>
      </c>
      <c r="AE36" s="41" t="str">
        <f>+_xlfn.XLOOKUP($C36,$C$72:$C$105,AE$72:AE$105,"")</f>
        <v/>
      </c>
      <c r="AF36" s="41" t="str">
        <f>+_xlfn.XLOOKUP($C36,$C$72:$C$105,AF$72:AF$105,"")</f>
        <v/>
      </c>
      <c r="AG36" s="41" t="str">
        <f>+_xlfn.XLOOKUP($C36,$C$72:$C$105,AG$72:AG$105,"")</f>
        <v/>
      </c>
      <c r="AH36" s="41" t="str">
        <f>+_xlfn.XLOOKUP($C36,$C$72:$C$105,AH$72:AH$105,"")</f>
        <v/>
      </c>
      <c r="AI36" s="41" t="str">
        <f>+_xlfn.XLOOKUP($C36,$C$72:$C$105,AI$72:AI$105,"")</f>
        <v/>
      </c>
      <c r="AJ36" s="41" t="str">
        <f>+_xlfn.XLOOKUP($C36,$C$72:$C$105,AJ$72:AJ$105,"")</f>
        <v/>
      </c>
      <c r="AK36" s="41" t="str">
        <f>+_xlfn.XLOOKUP($C36,$C$72:$C$105,AK$72:AK$105,"")</f>
        <v/>
      </c>
      <c r="AL36" s="41" t="str">
        <f>+_xlfn.XLOOKUP($C36,$C$72:$C$105,AL$72:AL$105,"")</f>
        <v/>
      </c>
      <c r="AM36" s="41" t="str">
        <f>+_xlfn.XLOOKUP($C36,$C$72:$C$105,AM$72:AM$105,"")</f>
        <v/>
      </c>
      <c r="AN36" s="41" t="str">
        <f>+_xlfn.XLOOKUP($C36,$C$72:$C$105,AN$72:AN$105,"")</f>
        <v/>
      </c>
      <c r="AO36" s="41" t="str">
        <f>+_xlfn.XLOOKUP($C36,$C$72:$C$105,AO$72:AO$105,"")</f>
        <v/>
      </c>
      <c r="AP36" s="41" t="str">
        <f>+_xlfn.XLOOKUP($C36,$C$72:$C$105,AP$72:AP$105,"")</f>
        <v/>
      </c>
      <c r="AQ36" s="41" t="str">
        <f>+_xlfn.XLOOKUP($C36,$C$72:$C$105,AQ$72:AQ$105,"")</f>
        <v/>
      </c>
      <c r="AR36" s="41" t="str">
        <f>+_xlfn.XLOOKUP($C36,$C$72:$C$105,AR$72:AR$105,"")</f>
        <v/>
      </c>
      <c r="AS36" s="41" t="str">
        <f>+_xlfn.XLOOKUP($C36,$C$72:$C$105,AS$72:AS$105,"")</f>
        <v/>
      </c>
      <c r="AT36" s="41" t="str">
        <f>+_xlfn.XLOOKUP($C36,$C$72:$C$105,AT$72:AT$105,"")</f>
        <v/>
      </c>
      <c r="AU36" s="41" t="str">
        <f>+_xlfn.XLOOKUP($C36,$C$72:$C$105,AU$72:AU$105,"")</f>
        <v/>
      </c>
      <c r="AV36" s="41" t="str">
        <f>+_xlfn.XLOOKUP($C36,$C$72:$C$105,AV$72:AV$105,"")</f>
        <v/>
      </c>
      <c r="AW36" s="41" t="str">
        <f>+_xlfn.XLOOKUP($C36,$C$72:$C$105,AW$72:AW$105,"")</f>
        <v/>
      </c>
      <c r="AX36" s="41" t="str">
        <f>+_xlfn.XLOOKUP($C36,$C$72:$C$105,AX$72:AX$105,"")</f>
        <v/>
      </c>
      <c r="AY36" s="41" t="str">
        <f>+_xlfn.XLOOKUP($C36,$C$72:$C$105,AY$72:AY$105,"")</f>
        <v/>
      </c>
      <c r="AZ36" s="41" t="str">
        <f>+_xlfn.XLOOKUP($C36,$C$72:$C$105,AZ$72:AZ$105,"")</f>
        <v/>
      </c>
      <c r="BA36" s="41" t="str">
        <f>+_xlfn.XLOOKUP($C36,$C$72:$C$105,BA$72:BA$105,"")</f>
        <v/>
      </c>
      <c r="BB36" s="41" t="str">
        <f>+_xlfn.XLOOKUP($C36,$C$72:$C$105,BB$72:BB$105,"")</f>
        <v/>
      </c>
      <c r="BC36" s="41" t="str">
        <f>+_xlfn.XLOOKUP($C36,$C$72:$C$105,BC$72:BC$105,"")</f>
        <v/>
      </c>
      <c r="BD36" s="41" t="str">
        <f>+_xlfn.XLOOKUP($C36,$C$72:$C$105,BD$72:BD$105,"")</f>
        <v/>
      </c>
      <c r="BE36" s="41" t="str">
        <f>+_xlfn.XLOOKUP($C36,$C$72:$C$105,BE$72:BE$105,"")</f>
        <v/>
      </c>
      <c r="BF36" s="41" t="str">
        <f>+_xlfn.XLOOKUP($C36,$C$72:$C$105,BF$72:BF$105,"")</f>
        <v/>
      </c>
      <c r="BG36" s="41" t="str">
        <f>+_xlfn.XLOOKUP($C36,$C$72:$C$105,BG$72:BG$105,"")</f>
        <v/>
      </c>
      <c r="BH36" s="41" t="str">
        <f>+_xlfn.XLOOKUP($C36,$C$72:$C$105,BH$72:BH$105,"")</f>
        <v/>
      </c>
      <c r="BI36" s="41" t="str">
        <f>+_xlfn.XLOOKUP($C36,$C$72:$C$105,BI$72:BI$105,"")</f>
        <v/>
      </c>
      <c r="BJ36" s="41" t="str">
        <f>+_xlfn.XLOOKUP($C36,$C$72:$C$105,BJ$72:BJ$105,"")</f>
        <v/>
      </c>
      <c r="BK36" s="41" t="str">
        <f>+_xlfn.XLOOKUP($C36,$C$72:$C$105,BK$72:BK$105,"")</f>
        <v/>
      </c>
      <c r="BL36" s="41" t="str">
        <f>+_xlfn.XLOOKUP($C36,$C$72:$C$105,BL$72:BL$105,"")</f>
        <v/>
      </c>
      <c r="BM36" s="41" t="str">
        <f>+_xlfn.XLOOKUP($C36,$C$72:$C$105,BM$72:BM$105,"")</f>
        <v/>
      </c>
      <c r="BN36" s="41" t="str">
        <f>+_xlfn.XLOOKUP($C36,$C$72:$C$105,BN$72:BN$105,"")</f>
        <v/>
      </c>
      <c r="BO36" s="41" t="str">
        <f>+_xlfn.XLOOKUP($C36,$C$72:$C$105,BO$72:BO$105,"")</f>
        <v/>
      </c>
      <c r="BP36" s="41">
        <f>+_xlfn.XLOOKUP($C36,$C$72:$C$105,BP$72:BP$105,"")</f>
        <v>29</v>
      </c>
      <c r="BQ36" s="41" t="str">
        <f>+_xlfn.XLOOKUP($C36,$C$72:$C$105,BQ$72:BQ$105,"")</f>
        <v/>
      </c>
      <c r="BR36" s="41">
        <f>+_xlfn.XLOOKUP($C36,$C$72:$C$105,BR$72:BR$105,"")</f>
        <v>-40</v>
      </c>
      <c r="BS36" s="41">
        <f>+_xlfn.XLOOKUP($C36,$C$72:$C$105,BS$72:BS$105,"")</f>
        <v>75.13</v>
      </c>
      <c r="BT36" s="41" t="str">
        <f>+_xlfn.XLOOKUP($C36,$C$72:$C$105,BT$72:BT$105,"")</f>
        <v/>
      </c>
      <c r="BU36" s="41" t="str">
        <f>+_xlfn.XLOOKUP($C36,$C$72:$C$105,BU$72:BU$105,"")</f>
        <v/>
      </c>
      <c r="BV36" s="41">
        <f>+_xlfn.XLOOKUP($C36,$C$72:$C$105,BV$72:BV$105,"")</f>
        <v>-60</v>
      </c>
      <c r="BW36" s="41" t="str">
        <f>+_xlfn.XLOOKUP($C36,$C$72:$C$105,BW$72:BW$105,"")</f>
        <v/>
      </c>
      <c r="BX36" s="41" t="str">
        <f>+_xlfn.XLOOKUP($C36,$C$72:$C$105,BX$72:BX$105,"")</f>
        <v/>
      </c>
      <c r="BY36" s="41" t="str">
        <f>+_xlfn.XLOOKUP($C36,$C$72:$C$105,BY$72:BY$105,"")</f>
        <v/>
      </c>
      <c r="BZ36" s="41" t="str">
        <f>+_xlfn.XLOOKUP($C36,$C$72:$C$105,BZ$72:BZ$105,"")</f>
        <v/>
      </c>
      <c r="CA36" s="41" t="str">
        <f>+_xlfn.XLOOKUP($C36,$C$72:$C$105,CA$72:CA$105,"")</f>
        <v/>
      </c>
      <c r="CB36" s="41">
        <f>+_xlfn.XLOOKUP($C36,$C$72:$C$105,CB$72:CB$105,"")</f>
        <v>180</v>
      </c>
      <c r="CC36" s="41" t="str">
        <f>+_xlfn.XLOOKUP($C36,$C$72:$C$105,CC$72:CC$105,"")</f>
        <v/>
      </c>
      <c r="CD36" s="41" t="str">
        <f>+_xlfn.XLOOKUP($C36,$C$72:$C$105,CD$72:CD$105,"")</f>
        <v/>
      </c>
      <c r="CE36" s="41" t="str">
        <f>+_xlfn.XLOOKUP($C36,$C$72:$C$105,CE$72:CE$105,"")</f>
        <v/>
      </c>
      <c r="CF36" s="41" t="str">
        <f>+_xlfn.XLOOKUP($C36,$C$72:$C$105,CF$72:CF$105,"")</f>
        <v/>
      </c>
      <c r="CG36" s="41" t="str">
        <f>+_xlfn.XLOOKUP($C36,$C$72:$C$105,CG$72:CG$105,"")</f>
        <v/>
      </c>
      <c r="CH36" s="41">
        <f>+_xlfn.XLOOKUP($C36,$C$72:$C$105,CH$72:CH$105,"")</f>
        <v>-30</v>
      </c>
      <c r="CI36" s="41" t="str">
        <f>+_xlfn.XLOOKUP($C36,$C$72:$C$105,CI$72:CI$105,"")</f>
        <v/>
      </c>
      <c r="CJ36" s="41" t="str">
        <f>+_xlfn.XLOOKUP($C36,$C$72:$C$105,CJ$72:CJ$105,"")</f>
        <v/>
      </c>
      <c r="CK36" s="41">
        <f>+_xlfn.XLOOKUP($C36,$C$72:$C$105,CK$72:CK$105,"")</f>
        <v>-50</v>
      </c>
      <c r="CL36" s="41" t="str">
        <f>+_xlfn.XLOOKUP($C36,$C$72:$C$105,CL$72:CL$105,"")</f>
        <v/>
      </c>
      <c r="CM36" s="41" t="str">
        <f>+_xlfn.XLOOKUP($C36,$C$72:$C$105,CM$72:CM$105,"")</f>
        <v/>
      </c>
      <c r="CN36" s="41">
        <f>+_xlfn.XLOOKUP($C36,$C$72:$C$105,CN$72:CN$105,"")</f>
        <v>-30</v>
      </c>
      <c r="CO36" s="42"/>
      <c r="CP36" s="29">
        <f>+_xlfn.XLOOKUP($C36,$C$72:$C$105,CP$72:CP$105,"")</f>
        <v>39.129999999999995</v>
      </c>
      <c r="CQ36" s="41"/>
      <c r="CR36" s="30">
        <f>+_xlfn.XLOOKUP($C36,$C$72:$C$105,CR$72:CR$105,"")</f>
        <v>0.10720547945205472</v>
      </c>
      <c r="CS36" s="31">
        <f>+_xlfn.XLOOKUP($C36,$C$72:$C$105,CS$72:CS$105,"")</f>
        <v>11</v>
      </c>
      <c r="CT36" s="31">
        <f>+_xlfn.XLOOKUP($C36,$C$72:$C$105,CT$72:CT$105,"")</f>
        <v>3</v>
      </c>
      <c r="CU36" s="30">
        <f>+_xlfn.XLOOKUP($C36,$C$72:$C$105,CU$72:CU$105,"")</f>
        <v>0.27272727272727271</v>
      </c>
      <c r="CV36" s="30">
        <f>+_xlfn.XLOOKUP($C36,$C$72:$C$105,CV$72:CV$105,"")</f>
        <v>0.15879371316306484</v>
      </c>
      <c r="CW36" s="30">
        <f>+_xlfn.XLOOKUP($C36,$C$72:$C$105,CW$72:CW$105,"")</f>
        <v>0.14341846758349705</v>
      </c>
      <c r="CX36" s="32">
        <f>+_xlfn.XLOOKUP($C36,$C$72:$C$105,CX$72:CX$105,"")</f>
        <v>3.5572727272727267</v>
      </c>
    </row>
    <row r="37" spans="2:102" ht="12.75" customHeight="1" x14ac:dyDescent="0.2">
      <c r="B37" s="83">
        <f t="shared" si="94"/>
        <v>10</v>
      </c>
      <c r="C37" s="33" t="str">
        <v>Aapo Pajunen</v>
      </c>
      <c r="D37" s="34" t="str">
        <f>+_xlfn.XLOOKUP($C37,$C$72:$C$105,D$72:D$105,"")</f>
        <v/>
      </c>
      <c r="E37" s="34" t="str">
        <f>+_xlfn.XLOOKUP($C37,$C$72:$C$105,E$72:E$105,"")</f>
        <v/>
      </c>
      <c r="F37" s="34" t="str">
        <f>+_xlfn.XLOOKUP($C37,$C$72:$C$105,F$72:F$105,"")</f>
        <v/>
      </c>
      <c r="G37" s="34" t="str">
        <f>+_xlfn.XLOOKUP($C37,$C$72:$C$105,G$72:G$105,"")</f>
        <v/>
      </c>
      <c r="H37" s="34" t="str">
        <f>+_xlfn.XLOOKUP($C37,$C$72:$C$105,H$72:H$105,"")</f>
        <v/>
      </c>
      <c r="I37" s="34" t="str">
        <f>+_xlfn.XLOOKUP($C37,$C$72:$C$105,I$72:I$105,"")</f>
        <v/>
      </c>
      <c r="J37" s="34" t="str">
        <f>+_xlfn.XLOOKUP($C37,$C$72:$C$105,J$72:J$105,"")</f>
        <v/>
      </c>
      <c r="K37" s="34" t="str">
        <f>+_xlfn.XLOOKUP($C37,$C$72:$C$105,K$72:K$105,"")</f>
        <v/>
      </c>
      <c r="L37" s="34" t="str">
        <f>+_xlfn.XLOOKUP($C37,$C$72:$C$105,L$72:L$105,"")</f>
        <v/>
      </c>
      <c r="M37" s="34" t="str">
        <f>+_xlfn.XLOOKUP($C37,$C$72:$C$105,M$72:M$105,"")</f>
        <v/>
      </c>
      <c r="N37" s="34" t="str">
        <f>+_xlfn.XLOOKUP($C37,$C$72:$C$105,N$72:N$105,"")</f>
        <v/>
      </c>
      <c r="O37" s="34" t="str">
        <f>+_xlfn.XLOOKUP($C37,$C$72:$C$105,O$72:O$105,"")</f>
        <v/>
      </c>
      <c r="P37" s="34" t="str">
        <f>+_xlfn.XLOOKUP($C37,$C$72:$C$105,P$72:P$105,"")</f>
        <v/>
      </c>
      <c r="Q37" s="34" t="str">
        <f>+_xlfn.XLOOKUP($C37,$C$72:$C$105,Q$72:Q$105,"")</f>
        <v/>
      </c>
      <c r="R37" s="34" t="str">
        <f>+_xlfn.XLOOKUP($C37,$C$72:$C$105,R$72:R$105,"")</f>
        <v/>
      </c>
      <c r="S37" s="34" t="str">
        <f>+_xlfn.XLOOKUP($C37,$C$72:$C$105,S$72:S$105,"")</f>
        <v/>
      </c>
      <c r="T37" s="34" t="str">
        <f>+_xlfn.XLOOKUP($C37,$C$72:$C$105,T$72:T$105,"")</f>
        <v/>
      </c>
      <c r="U37" s="34" t="str">
        <f>+_xlfn.XLOOKUP($C37,$C$72:$C$105,U$72:U$105,"")</f>
        <v/>
      </c>
      <c r="V37" s="34" t="str">
        <f>+_xlfn.XLOOKUP($C37,$C$72:$C$105,V$72:V$105,"")</f>
        <v/>
      </c>
      <c r="W37" s="34" t="str">
        <f>+_xlfn.XLOOKUP($C37,$C$72:$C$105,W$72:W$105,"")</f>
        <v/>
      </c>
      <c r="X37" s="34">
        <f>+_xlfn.XLOOKUP($C37,$C$72:$C$105,X$72:X$105,"")</f>
        <v>-15</v>
      </c>
      <c r="Y37" s="34" t="str">
        <f>+_xlfn.XLOOKUP($C37,$C$72:$C$105,Y$72:Y$105,"")</f>
        <v/>
      </c>
      <c r="Z37" s="34" t="str">
        <f>+_xlfn.XLOOKUP($C37,$C$72:$C$105,Z$72:Z$105,"")</f>
        <v/>
      </c>
      <c r="AA37" s="34" t="str">
        <f>+_xlfn.XLOOKUP($C37,$C$72:$C$105,AA$72:AA$105,"")</f>
        <v/>
      </c>
      <c r="AB37" s="34" t="str">
        <f>+_xlfn.XLOOKUP($C37,$C$72:$C$105,AB$72:AB$105,"")</f>
        <v/>
      </c>
      <c r="AC37" s="34" t="str">
        <f>+_xlfn.XLOOKUP($C37,$C$72:$C$105,AC$72:AC$105,"")</f>
        <v/>
      </c>
      <c r="AD37" s="34" t="str">
        <f>+_xlfn.XLOOKUP($C37,$C$72:$C$105,AD$72:AD$105,"")</f>
        <v/>
      </c>
      <c r="AE37" s="34" t="str">
        <f>+_xlfn.XLOOKUP($C37,$C$72:$C$105,AE$72:AE$105,"")</f>
        <v/>
      </c>
      <c r="AF37" s="34" t="str">
        <f>+_xlfn.XLOOKUP($C37,$C$72:$C$105,AF$72:AF$105,"")</f>
        <v/>
      </c>
      <c r="AG37" s="34" t="str">
        <f>+_xlfn.XLOOKUP($C37,$C$72:$C$105,AG$72:AG$105,"")</f>
        <v/>
      </c>
      <c r="AH37" s="34" t="str">
        <f>+_xlfn.XLOOKUP($C37,$C$72:$C$105,AH$72:AH$105,"")</f>
        <v/>
      </c>
      <c r="AI37" s="34" t="str">
        <f>+_xlfn.XLOOKUP($C37,$C$72:$C$105,AI$72:AI$105,"")</f>
        <v/>
      </c>
      <c r="AJ37" s="34" t="str">
        <f>+_xlfn.XLOOKUP($C37,$C$72:$C$105,AJ$72:AJ$105,"")</f>
        <v/>
      </c>
      <c r="AK37" s="34" t="str">
        <f>+_xlfn.XLOOKUP($C37,$C$72:$C$105,AK$72:AK$105,"")</f>
        <v/>
      </c>
      <c r="AL37" s="34" t="str">
        <f>+_xlfn.XLOOKUP($C37,$C$72:$C$105,AL$72:AL$105,"")</f>
        <v/>
      </c>
      <c r="AM37" s="34" t="str">
        <f>+_xlfn.XLOOKUP($C37,$C$72:$C$105,AM$72:AM$105,"")</f>
        <v/>
      </c>
      <c r="AN37" s="34" t="str">
        <f>+_xlfn.XLOOKUP($C37,$C$72:$C$105,AN$72:AN$105,"")</f>
        <v/>
      </c>
      <c r="AO37" s="34" t="str">
        <f>+_xlfn.XLOOKUP($C37,$C$72:$C$105,AO$72:AO$105,"")</f>
        <v/>
      </c>
      <c r="AP37" s="34" t="str">
        <f>+_xlfn.XLOOKUP($C37,$C$72:$C$105,AP$72:AP$105,"")</f>
        <v/>
      </c>
      <c r="AQ37" s="34" t="str">
        <f>+_xlfn.XLOOKUP($C37,$C$72:$C$105,AQ$72:AQ$105,"")</f>
        <v/>
      </c>
      <c r="AR37" s="34" t="str">
        <f>+_xlfn.XLOOKUP($C37,$C$72:$C$105,AR$72:AR$105,"")</f>
        <v/>
      </c>
      <c r="AS37" s="34" t="str">
        <f>+_xlfn.XLOOKUP($C37,$C$72:$C$105,AS$72:AS$105,"")</f>
        <v/>
      </c>
      <c r="AT37" s="34" t="str">
        <f>+_xlfn.XLOOKUP($C37,$C$72:$C$105,AT$72:AT$105,"")</f>
        <v/>
      </c>
      <c r="AU37" s="34" t="str">
        <f>+_xlfn.XLOOKUP($C37,$C$72:$C$105,AU$72:AU$105,"")</f>
        <v/>
      </c>
      <c r="AV37" s="34" t="str">
        <f>+_xlfn.XLOOKUP($C37,$C$72:$C$105,AV$72:AV$105,"")</f>
        <v/>
      </c>
      <c r="AW37" s="34" t="str">
        <f>+_xlfn.XLOOKUP($C37,$C$72:$C$105,AW$72:AW$105,"")</f>
        <v/>
      </c>
      <c r="AX37" s="34" t="str">
        <f>+_xlfn.XLOOKUP($C37,$C$72:$C$105,AX$72:AX$105,"")</f>
        <v/>
      </c>
      <c r="AY37" s="34" t="str">
        <f>+_xlfn.XLOOKUP($C37,$C$72:$C$105,AY$72:AY$105,"")</f>
        <v/>
      </c>
      <c r="AZ37" s="34" t="str">
        <f>+_xlfn.XLOOKUP($C37,$C$72:$C$105,AZ$72:AZ$105,"")</f>
        <v/>
      </c>
      <c r="BA37" s="34" t="str">
        <f>+_xlfn.XLOOKUP($C37,$C$72:$C$105,BA$72:BA$105,"")</f>
        <v/>
      </c>
      <c r="BB37" s="34" t="str">
        <f>+_xlfn.XLOOKUP($C37,$C$72:$C$105,BB$72:BB$105,"")</f>
        <v/>
      </c>
      <c r="BC37" s="34" t="str">
        <f>+_xlfn.XLOOKUP($C37,$C$72:$C$105,BC$72:BC$105,"")</f>
        <v/>
      </c>
      <c r="BD37" s="34" t="str">
        <f>+_xlfn.XLOOKUP($C37,$C$72:$C$105,BD$72:BD$105,"")</f>
        <v/>
      </c>
      <c r="BE37" s="34" t="str">
        <f>+_xlfn.XLOOKUP($C37,$C$72:$C$105,BE$72:BE$105,"")</f>
        <v/>
      </c>
      <c r="BF37" s="34" t="str">
        <f>+_xlfn.XLOOKUP($C37,$C$72:$C$105,BF$72:BF$105,"")</f>
        <v/>
      </c>
      <c r="BG37" s="34" t="str">
        <f>+_xlfn.XLOOKUP($C37,$C$72:$C$105,BG$72:BG$105,"")</f>
        <v/>
      </c>
      <c r="BH37" s="34" t="str">
        <f>+_xlfn.XLOOKUP($C37,$C$72:$C$105,BH$72:BH$105,"")</f>
        <v/>
      </c>
      <c r="BI37" s="34" t="str">
        <f>+_xlfn.XLOOKUP($C37,$C$72:$C$105,BI$72:BI$105,"")</f>
        <v/>
      </c>
      <c r="BJ37" s="34" t="str">
        <f>+_xlfn.XLOOKUP($C37,$C$72:$C$105,BJ$72:BJ$105,"")</f>
        <v/>
      </c>
      <c r="BK37" s="34" t="str">
        <f>+_xlfn.XLOOKUP($C37,$C$72:$C$105,BK$72:BK$105,"")</f>
        <v/>
      </c>
      <c r="BL37" s="34" t="str">
        <f>+_xlfn.XLOOKUP($C37,$C$72:$C$105,BL$72:BL$105,"")</f>
        <v/>
      </c>
      <c r="BM37" s="34" t="str">
        <f>+_xlfn.XLOOKUP($C37,$C$72:$C$105,BM$72:BM$105,"")</f>
        <v/>
      </c>
      <c r="BN37" s="34" t="str">
        <f>+_xlfn.XLOOKUP($C37,$C$72:$C$105,BN$72:BN$105,"")</f>
        <v/>
      </c>
      <c r="BO37" s="34" t="str">
        <f>+_xlfn.XLOOKUP($C37,$C$72:$C$105,BO$72:BO$105,"")</f>
        <v/>
      </c>
      <c r="BP37" s="34" t="str">
        <f>+_xlfn.XLOOKUP($C37,$C$72:$C$105,BP$72:BP$105,"")</f>
        <v/>
      </c>
      <c r="BQ37" s="34" t="str">
        <f>+_xlfn.XLOOKUP($C37,$C$72:$C$105,BQ$72:BQ$105,"")</f>
        <v/>
      </c>
      <c r="BR37" s="34" t="str">
        <f>+_xlfn.XLOOKUP($C37,$C$72:$C$105,BR$72:BR$105,"")</f>
        <v/>
      </c>
      <c r="BS37" s="34" t="str">
        <f>+_xlfn.XLOOKUP($C37,$C$72:$C$105,BS$72:BS$105,"")</f>
        <v/>
      </c>
      <c r="BT37" s="34" t="str">
        <f>+_xlfn.XLOOKUP($C37,$C$72:$C$105,BT$72:BT$105,"")</f>
        <v/>
      </c>
      <c r="BU37" s="34" t="str">
        <f>+_xlfn.XLOOKUP($C37,$C$72:$C$105,BU$72:BU$105,"")</f>
        <v/>
      </c>
      <c r="BV37" s="34" t="str">
        <f>+_xlfn.XLOOKUP($C37,$C$72:$C$105,BV$72:BV$105,"")</f>
        <v/>
      </c>
      <c r="BW37" s="34" t="str">
        <f>+_xlfn.XLOOKUP($C37,$C$72:$C$105,BW$72:BW$105,"")</f>
        <v/>
      </c>
      <c r="BX37" s="34" t="str">
        <f>+_xlfn.XLOOKUP($C37,$C$72:$C$105,BX$72:BX$105,"")</f>
        <v/>
      </c>
      <c r="BY37" s="34" t="str">
        <f>+_xlfn.XLOOKUP($C37,$C$72:$C$105,BY$72:BY$105,"")</f>
        <v/>
      </c>
      <c r="BZ37" s="34" t="str">
        <f>+_xlfn.XLOOKUP($C37,$C$72:$C$105,BZ$72:BZ$105,"")</f>
        <v/>
      </c>
      <c r="CA37" s="34" t="str">
        <f>+_xlfn.XLOOKUP($C37,$C$72:$C$105,CA$72:CA$105,"")</f>
        <v/>
      </c>
      <c r="CB37" s="34" t="str">
        <f>+_xlfn.XLOOKUP($C37,$C$72:$C$105,CB$72:CB$105,"")</f>
        <v/>
      </c>
      <c r="CC37" s="34" t="str">
        <f>+_xlfn.XLOOKUP($C37,$C$72:$C$105,CC$72:CC$105,"")</f>
        <v/>
      </c>
      <c r="CD37" s="34" t="str">
        <f>+_xlfn.XLOOKUP($C37,$C$72:$C$105,CD$72:CD$105,"")</f>
        <v/>
      </c>
      <c r="CE37" s="34" t="str">
        <f>+_xlfn.XLOOKUP($C37,$C$72:$C$105,CE$72:CE$105,"")</f>
        <v/>
      </c>
      <c r="CF37" s="34" t="str">
        <f>+_xlfn.XLOOKUP($C37,$C$72:$C$105,CF$72:CF$105,"")</f>
        <v/>
      </c>
      <c r="CG37" s="34" t="str">
        <f>+_xlfn.XLOOKUP($C37,$C$72:$C$105,CG$72:CG$105,"")</f>
        <v/>
      </c>
      <c r="CH37" s="34" t="str">
        <f>+_xlfn.XLOOKUP($C37,$C$72:$C$105,CH$72:CH$105,"")</f>
        <v/>
      </c>
      <c r="CI37" s="34" t="str">
        <f>+_xlfn.XLOOKUP($C37,$C$72:$C$105,CI$72:CI$105,"")</f>
        <v/>
      </c>
      <c r="CJ37" s="34" t="str">
        <f>+_xlfn.XLOOKUP($C37,$C$72:$C$105,CJ$72:CJ$105,"")</f>
        <v/>
      </c>
      <c r="CK37" s="34" t="str">
        <f>+_xlfn.XLOOKUP($C37,$C$72:$C$105,CK$72:CK$105,"")</f>
        <v/>
      </c>
      <c r="CL37" s="34" t="str">
        <f>+_xlfn.XLOOKUP($C37,$C$72:$C$105,CL$72:CL$105,"")</f>
        <v/>
      </c>
      <c r="CM37" s="34" t="str">
        <f>+_xlfn.XLOOKUP($C37,$C$72:$C$105,CM$72:CM$105,"")</f>
        <v/>
      </c>
      <c r="CN37" s="34" t="str">
        <f>+_xlfn.XLOOKUP($C37,$C$72:$C$105,CN$72:CN$105,"")</f>
        <v/>
      </c>
      <c r="CO37" s="35"/>
      <c r="CP37" s="36">
        <f>+_xlfn.XLOOKUP($C37,$C$72:$C$105,CP$72:CP$105,"")</f>
        <v>-15</v>
      </c>
      <c r="CQ37" s="34"/>
      <c r="CR37" s="37">
        <f>+_xlfn.XLOOKUP($C37,$C$72:$C$105,CR$72:CR$105,"")</f>
        <v>-1</v>
      </c>
      <c r="CS37" s="38">
        <f>+_xlfn.XLOOKUP($C37,$C$72:$C$105,CS$72:CS$105,"")</f>
        <v>1</v>
      </c>
      <c r="CT37" s="38">
        <f>+_xlfn.XLOOKUP($C37,$C$72:$C$105,CT$72:CT$105,"")</f>
        <v>0</v>
      </c>
      <c r="CU37" s="37">
        <f>+_xlfn.XLOOKUP($C37,$C$72:$C$105,CU$72:CU$105,"")</f>
        <v>0</v>
      </c>
      <c r="CV37" s="37">
        <f>+_xlfn.XLOOKUP($C37,$C$72:$C$105,CV$72:CV$105,"")</f>
        <v>0</v>
      </c>
      <c r="CW37" s="37">
        <f>+_xlfn.XLOOKUP($C37,$C$72:$C$105,CW$72:CW$105,"")</f>
        <v>0.14285714285714285</v>
      </c>
      <c r="CX37" s="39">
        <f>+_xlfn.XLOOKUP($C37,$C$72:$C$105,CX$72:CX$105,"")</f>
        <v>-15</v>
      </c>
    </row>
    <row r="38" spans="2:102" ht="12.75" customHeight="1" x14ac:dyDescent="0.2">
      <c r="B38" s="84">
        <f t="shared" si="94"/>
        <v>11</v>
      </c>
      <c r="C38" s="40" t="str">
        <v>Eerika Ojantakanen</v>
      </c>
      <c r="D38" s="41" t="str">
        <f>+_xlfn.XLOOKUP($C38,$C$72:$C$105,D$72:D$105,"")</f>
        <v/>
      </c>
      <c r="E38" s="41" t="str">
        <f>+_xlfn.XLOOKUP($C38,$C$72:$C$105,E$72:E$105,"")</f>
        <v/>
      </c>
      <c r="F38" s="41" t="str">
        <f>+_xlfn.XLOOKUP($C38,$C$72:$C$105,F$72:F$105,"")</f>
        <v/>
      </c>
      <c r="G38" s="41" t="str">
        <f>+_xlfn.XLOOKUP($C38,$C$72:$C$105,G$72:G$105,"")</f>
        <v/>
      </c>
      <c r="H38" s="41" t="str">
        <f>+_xlfn.XLOOKUP($C38,$C$72:$C$105,H$72:H$105,"")</f>
        <v/>
      </c>
      <c r="I38" s="41" t="str">
        <f>+_xlfn.XLOOKUP($C38,$C$72:$C$105,I$72:I$105,"")</f>
        <v/>
      </c>
      <c r="J38" s="41" t="str">
        <f>+_xlfn.XLOOKUP($C38,$C$72:$C$105,J$72:J$105,"")</f>
        <v/>
      </c>
      <c r="K38" s="41" t="str">
        <f>+_xlfn.XLOOKUP($C38,$C$72:$C$105,K$72:K$105,"")</f>
        <v/>
      </c>
      <c r="L38" s="41" t="str">
        <f>+_xlfn.XLOOKUP($C38,$C$72:$C$105,L$72:L$105,"")</f>
        <v/>
      </c>
      <c r="M38" s="41" t="str">
        <f>+_xlfn.XLOOKUP($C38,$C$72:$C$105,M$72:M$105,"")</f>
        <v/>
      </c>
      <c r="N38" s="41" t="str">
        <f>+_xlfn.XLOOKUP($C38,$C$72:$C$105,N$72:N$105,"")</f>
        <v/>
      </c>
      <c r="O38" s="41" t="str">
        <f>+_xlfn.XLOOKUP($C38,$C$72:$C$105,O$72:O$105,"")</f>
        <v/>
      </c>
      <c r="P38" s="41" t="str">
        <f>+_xlfn.XLOOKUP($C38,$C$72:$C$105,P$72:P$105,"")</f>
        <v/>
      </c>
      <c r="Q38" s="41" t="str">
        <f>+_xlfn.XLOOKUP($C38,$C$72:$C$105,Q$72:Q$105,"")</f>
        <v/>
      </c>
      <c r="R38" s="41" t="str">
        <f>+_xlfn.XLOOKUP($C38,$C$72:$C$105,R$72:R$105,"")</f>
        <v/>
      </c>
      <c r="S38" s="41" t="str">
        <f>+_xlfn.XLOOKUP($C38,$C$72:$C$105,S$72:S$105,"")</f>
        <v/>
      </c>
      <c r="T38" s="41" t="str">
        <f>+_xlfn.XLOOKUP($C38,$C$72:$C$105,T$72:T$105,"")</f>
        <v/>
      </c>
      <c r="U38" s="41" t="str">
        <f>+_xlfn.XLOOKUP($C38,$C$72:$C$105,U$72:U$105,"")</f>
        <v/>
      </c>
      <c r="V38" s="41" t="str">
        <f>+_xlfn.XLOOKUP($C38,$C$72:$C$105,V$72:V$105,"")</f>
        <v/>
      </c>
      <c r="W38" s="41" t="str">
        <f>+_xlfn.XLOOKUP($C38,$C$72:$C$105,W$72:W$105,"")</f>
        <v/>
      </c>
      <c r="X38" s="41">
        <f>+_xlfn.XLOOKUP($C38,$C$72:$C$105,X$72:X$105,"")</f>
        <v>-15</v>
      </c>
      <c r="Y38" s="41" t="str">
        <f>+_xlfn.XLOOKUP($C38,$C$72:$C$105,Y$72:Y$105,"")</f>
        <v/>
      </c>
      <c r="Z38" s="41" t="str">
        <f>+_xlfn.XLOOKUP($C38,$C$72:$C$105,Z$72:Z$105,"")</f>
        <v/>
      </c>
      <c r="AA38" s="41" t="str">
        <f>+_xlfn.XLOOKUP($C38,$C$72:$C$105,AA$72:AA$105,"")</f>
        <v/>
      </c>
      <c r="AB38" s="41" t="str">
        <f>+_xlfn.XLOOKUP($C38,$C$72:$C$105,AB$72:AB$105,"")</f>
        <v/>
      </c>
      <c r="AC38" s="41" t="str">
        <f>+_xlfn.XLOOKUP($C38,$C$72:$C$105,AC$72:AC$105,"")</f>
        <v/>
      </c>
      <c r="AD38" s="41" t="str">
        <f>+_xlfn.XLOOKUP($C38,$C$72:$C$105,AD$72:AD$105,"")</f>
        <v/>
      </c>
      <c r="AE38" s="41" t="str">
        <f>+_xlfn.XLOOKUP($C38,$C$72:$C$105,AE$72:AE$105,"")</f>
        <v/>
      </c>
      <c r="AF38" s="41" t="str">
        <f>+_xlfn.XLOOKUP($C38,$C$72:$C$105,AF$72:AF$105,"")</f>
        <v/>
      </c>
      <c r="AG38" s="41" t="str">
        <f>+_xlfn.XLOOKUP($C38,$C$72:$C$105,AG$72:AG$105,"")</f>
        <v/>
      </c>
      <c r="AH38" s="41" t="str">
        <f>+_xlfn.XLOOKUP($C38,$C$72:$C$105,AH$72:AH$105,"")</f>
        <v/>
      </c>
      <c r="AI38" s="41" t="str">
        <f>+_xlfn.XLOOKUP($C38,$C$72:$C$105,AI$72:AI$105,"")</f>
        <v/>
      </c>
      <c r="AJ38" s="41" t="str">
        <f>+_xlfn.XLOOKUP($C38,$C$72:$C$105,AJ$72:AJ$105,"")</f>
        <v/>
      </c>
      <c r="AK38" s="41" t="str">
        <f>+_xlfn.XLOOKUP($C38,$C$72:$C$105,AK$72:AK$105,"")</f>
        <v/>
      </c>
      <c r="AL38" s="41" t="str">
        <f>+_xlfn.XLOOKUP($C38,$C$72:$C$105,AL$72:AL$105,"")</f>
        <v/>
      </c>
      <c r="AM38" s="41" t="str">
        <f>+_xlfn.XLOOKUP($C38,$C$72:$C$105,AM$72:AM$105,"")</f>
        <v/>
      </c>
      <c r="AN38" s="41" t="str">
        <f>+_xlfn.XLOOKUP($C38,$C$72:$C$105,AN$72:AN$105,"")</f>
        <v/>
      </c>
      <c r="AO38" s="41" t="str">
        <f>+_xlfn.XLOOKUP($C38,$C$72:$C$105,AO$72:AO$105,"")</f>
        <v/>
      </c>
      <c r="AP38" s="41" t="str">
        <f>+_xlfn.XLOOKUP($C38,$C$72:$C$105,AP$72:AP$105,"")</f>
        <v/>
      </c>
      <c r="AQ38" s="41" t="str">
        <f>+_xlfn.XLOOKUP($C38,$C$72:$C$105,AQ$72:AQ$105,"")</f>
        <v/>
      </c>
      <c r="AR38" s="41" t="str">
        <f>+_xlfn.XLOOKUP($C38,$C$72:$C$105,AR$72:AR$105,"")</f>
        <v/>
      </c>
      <c r="AS38" s="41" t="str">
        <f>+_xlfn.XLOOKUP($C38,$C$72:$C$105,AS$72:AS$105,"")</f>
        <v/>
      </c>
      <c r="AT38" s="41" t="str">
        <f>+_xlfn.XLOOKUP($C38,$C$72:$C$105,AT$72:AT$105,"")</f>
        <v/>
      </c>
      <c r="AU38" s="41" t="str">
        <f>+_xlfn.XLOOKUP($C38,$C$72:$C$105,AU$72:AU$105,"")</f>
        <v/>
      </c>
      <c r="AV38" s="41" t="str">
        <f>+_xlfn.XLOOKUP($C38,$C$72:$C$105,AV$72:AV$105,"")</f>
        <v/>
      </c>
      <c r="AW38" s="41" t="str">
        <f>+_xlfn.XLOOKUP($C38,$C$72:$C$105,AW$72:AW$105,"")</f>
        <v/>
      </c>
      <c r="AX38" s="41" t="str">
        <f>+_xlfn.XLOOKUP($C38,$C$72:$C$105,AX$72:AX$105,"")</f>
        <v/>
      </c>
      <c r="AY38" s="41" t="str">
        <f>+_xlfn.XLOOKUP($C38,$C$72:$C$105,AY$72:AY$105,"")</f>
        <v/>
      </c>
      <c r="AZ38" s="41" t="str">
        <f>+_xlfn.XLOOKUP($C38,$C$72:$C$105,AZ$72:AZ$105,"")</f>
        <v/>
      </c>
      <c r="BA38" s="41" t="str">
        <f>+_xlfn.XLOOKUP($C38,$C$72:$C$105,BA$72:BA$105,"")</f>
        <v/>
      </c>
      <c r="BB38" s="41" t="str">
        <f>+_xlfn.XLOOKUP($C38,$C$72:$C$105,BB$72:BB$105,"")</f>
        <v/>
      </c>
      <c r="BC38" s="41" t="str">
        <f>+_xlfn.XLOOKUP($C38,$C$72:$C$105,BC$72:BC$105,"")</f>
        <v/>
      </c>
      <c r="BD38" s="41" t="str">
        <f>+_xlfn.XLOOKUP($C38,$C$72:$C$105,BD$72:BD$105,"")</f>
        <v/>
      </c>
      <c r="BE38" s="41" t="str">
        <f>+_xlfn.XLOOKUP($C38,$C$72:$C$105,BE$72:BE$105,"")</f>
        <v/>
      </c>
      <c r="BF38" s="41" t="str">
        <f>+_xlfn.XLOOKUP($C38,$C$72:$C$105,BF$72:BF$105,"")</f>
        <v/>
      </c>
      <c r="BG38" s="41" t="str">
        <f>+_xlfn.XLOOKUP($C38,$C$72:$C$105,BG$72:BG$105,"")</f>
        <v/>
      </c>
      <c r="BH38" s="41" t="str">
        <f>+_xlfn.XLOOKUP($C38,$C$72:$C$105,BH$72:BH$105,"")</f>
        <v/>
      </c>
      <c r="BI38" s="41" t="str">
        <f>+_xlfn.XLOOKUP($C38,$C$72:$C$105,BI$72:BI$105,"")</f>
        <v/>
      </c>
      <c r="BJ38" s="41" t="str">
        <f>+_xlfn.XLOOKUP($C38,$C$72:$C$105,BJ$72:BJ$105,"")</f>
        <v/>
      </c>
      <c r="BK38" s="41" t="str">
        <f>+_xlfn.XLOOKUP($C38,$C$72:$C$105,BK$72:BK$105,"")</f>
        <v/>
      </c>
      <c r="BL38" s="41" t="str">
        <f>+_xlfn.XLOOKUP($C38,$C$72:$C$105,BL$72:BL$105,"")</f>
        <v/>
      </c>
      <c r="BM38" s="41" t="str">
        <f>+_xlfn.XLOOKUP($C38,$C$72:$C$105,BM$72:BM$105,"")</f>
        <v/>
      </c>
      <c r="BN38" s="41" t="str">
        <f>+_xlfn.XLOOKUP($C38,$C$72:$C$105,BN$72:BN$105,"")</f>
        <v/>
      </c>
      <c r="BO38" s="41" t="str">
        <f>+_xlfn.XLOOKUP($C38,$C$72:$C$105,BO$72:BO$105,"")</f>
        <v/>
      </c>
      <c r="BP38" s="41" t="str">
        <f>+_xlfn.XLOOKUP($C38,$C$72:$C$105,BP$72:BP$105,"")</f>
        <v/>
      </c>
      <c r="BQ38" s="41" t="str">
        <f>+_xlfn.XLOOKUP($C38,$C$72:$C$105,BQ$72:BQ$105,"")</f>
        <v/>
      </c>
      <c r="BR38" s="41" t="str">
        <f>+_xlfn.XLOOKUP($C38,$C$72:$C$105,BR$72:BR$105,"")</f>
        <v/>
      </c>
      <c r="BS38" s="41" t="str">
        <f>+_xlfn.XLOOKUP($C38,$C$72:$C$105,BS$72:BS$105,"")</f>
        <v/>
      </c>
      <c r="BT38" s="41" t="str">
        <f>+_xlfn.XLOOKUP($C38,$C$72:$C$105,BT$72:BT$105,"")</f>
        <v/>
      </c>
      <c r="BU38" s="41" t="str">
        <f>+_xlfn.XLOOKUP($C38,$C$72:$C$105,BU$72:BU$105,"")</f>
        <v/>
      </c>
      <c r="BV38" s="41" t="str">
        <f>+_xlfn.XLOOKUP($C38,$C$72:$C$105,BV$72:BV$105,"")</f>
        <v/>
      </c>
      <c r="BW38" s="41" t="str">
        <f>+_xlfn.XLOOKUP($C38,$C$72:$C$105,BW$72:BW$105,"")</f>
        <v/>
      </c>
      <c r="BX38" s="41" t="str">
        <f>+_xlfn.XLOOKUP($C38,$C$72:$C$105,BX$72:BX$105,"")</f>
        <v/>
      </c>
      <c r="BY38" s="41" t="str">
        <f>+_xlfn.XLOOKUP($C38,$C$72:$C$105,BY$72:BY$105,"")</f>
        <v/>
      </c>
      <c r="BZ38" s="41" t="str">
        <f>+_xlfn.XLOOKUP($C38,$C$72:$C$105,BZ$72:BZ$105,"")</f>
        <v/>
      </c>
      <c r="CA38" s="41" t="str">
        <f>+_xlfn.XLOOKUP($C38,$C$72:$C$105,CA$72:CA$105,"")</f>
        <v/>
      </c>
      <c r="CB38" s="41" t="str">
        <f>+_xlfn.XLOOKUP($C38,$C$72:$C$105,CB$72:CB$105,"")</f>
        <v/>
      </c>
      <c r="CC38" s="41" t="str">
        <f>+_xlfn.XLOOKUP($C38,$C$72:$C$105,CC$72:CC$105,"")</f>
        <v/>
      </c>
      <c r="CD38" s="41" t="str">
        <f>+_xlfn.XLOOKUP($C38,$C$72:$C$105,CD$72:CD$105,"")</f>
        <v/>
      </c>
      <c r="CE38" s="41" t="str">
        <f>+_xlfn.XLOOKUP($C38,$C$72:$C$105,CE$72:CE$105,"")</f>
        <v/>
      </c>
      <c r="CF38" s="41" t="str">
        <f>+_xlfn.XLOOKUP($C38,$C$72:$C$105,CF$72:CF$105,"")</f>
        <v/>
      </c>
      <c r="CG38" s="41" t="str">
        <f>+_xlfn.XLOOKUP($C38,$C$72:$C$105,CG$72:CG$105,"")</f>
        <v/>
      </c>
      <c r="CH38" s="41" t="str">
        <f>+_xlfn.XLOOKUP($C38,$C$72:$C$105,CH$72:CH$105,"")</f>
        <v/>
      </c>
      <c r="CI38" s="41" t="str">
        <f>+_xlfn.XLOOKUP($C38,$C$72:$C$105,CI$72:CI$105,"")</f>
        <v/>
      </c>
      <c r="CJ38" s="41" t="str">
        <f>+_xlfn.XLOOKUP($C38,$C$72:$C$105,CJ$72:CJ$105,"")</f>
        <v/>
      </c>
      <c r="CK38" s="41" t="str">
        <f>+_xlfn.XLOOKUP($C38,$C$72:$C$105,CK$72:CK$105,"")</f>
        <v/>
      </c>
      <c r="CL38" s="41" t="str">
        <f>+_xlfn.XLOOKUP($C38,$C$72:$C$105,CL$72:CL$105,"")</f>
        <v/>
      </c>
      <c r="CM38" s="41" t="str">
        <f>+_xlfn.XLOOKUP($C38,$C$72:$C$105,CM$72:CM$105,"")</f>
        <v/>
      </c>
      <c r="CN38" s="41" t="str">
        <f>+_xlfn.XLOOKUP($C38,$C$72:$C$105,CN$72:CN$105,"")</f>
        <v/>
      </c>
      <c r="CO38" s="42"/>
      <c r="CP38" s="29">
        <f>+_xlfn.XLOOKUP($C38,$C$72:$C$105,CP$72:CP$105,"")</f>
        <v>-15</v>
      </c>
      <c r="CQ38" s="41"/>
      <c r="CR38" s="30">
        <f>+_xlfn.XLOOKUP($C38,$C$72:$C$105,CR$72:CR$105,"")</f>
        <v>-1</v>
      </c>
      <c r="CS38" s="31">
        <f>+_xlfn.XLOOKUP($C38,$C$72:$C$105,CS$72:CS$105,"")</f>
        <v>1</v>
      </c>
      <c r="CT38" s="31">
        <f>+_xlfn.XLOOKUP($C38,$C$72:$C$105,CT$72:CT$105,"")</f>
        <v>0</v>
      </c>
      <c r="CU38" s="30">
        <f>+_xlfn.XLOOKUP($C38,$C$72:$C$105,CU$72:CU$105,"")</f>
        <v>0</v>
      </c>
      <c r="CV38" s="30">
        <f>+_xlfn.XLOOKUP($C38,$C$72:$C$105,CV$72:CV$105,"")</f>
        <v>0</v>
      </c>
      <c r="CW38" s="30">
        <f>+_xlfn.XLOOKUP($C38,$C$72:$C$105,CW$72:CW$105,"")</f>
        <v>0.14285714285714285</v>
      </c>
      <c r="CX38" s="32">
        <f>+_xlfn.XLOOKUP($C38,$C$72:$C$105,CX$72:CX$105,"")</f>
        <v>-15</v>
      </c>
    </row>
    <row r="39" spans="2:102" ht="12.75" customHeight="1" x14ac:dyDescent="0.2">
      <c r="B39" s="83">
        <f t="shared" si="94"/>
        <v>12</v>
      </c>
      <c r="C39" s="33" t="str">
        <v>Otto von Boehm</v>
      </c>
      <c r="D39" s="34" t="str">
        <f>+_xlfn.XLOOKUP($C39,$C$72:$C$105,D$72:D$105,"")</f>
        <v/>
      </c>
      <c r="E39" s="34" t="str">
        <f>+_xlfn.XLOOKUP($C39,$C$72:$C$105,E$72:E$105,"")</f>
        <v/>
      </c>
      <c r="F39" s="34" t="str">
        <f>+_xlfn.XLOOKUP($C39,$C$72:$C$105,F$72:F$105,"")</f>
        <v/>
      </c>
      <c r="G39" s="34" t="str">
        <f>+_xlfn.XLOOKUP($C39,$C$72:$C$105,G$72:G$105,"")</f>
        <v/>
      </c>
      <c r="H39" s="34" t="str">
        <f>+_xlfn.XLOOKUP($C39,$C$72:$C$105,H$72:H$105,"")</f>
        <v/>
      </c>
      <c r="I39" s="34" t="str">
        <f>+_xlfn.XLOOKUP($C39,$C$72:$C$105,I$72:I$105,"")</f>
        <v/>
      </c>
      <c r="J39" s="34" t="str">
        <f>+_xlfn.XLOOKUP($C39,$C$72:$C$105,J$72:J$105,"")</f>
        <v/>
      </c>
      <c r="K39" s="34" t="str">
        <f>+_xlfn.XLOOKUP($C39,$C$72:$C$105,K$72:K$105,"")</f>
        <v/>
      </c>
      <c r="L39" s="34" t="str">
        <f>+_xlfn.XLOOKUP($C39,$C$72:$C$105,L$72:L$105,"")</f>
        <v/>
      </c>
      <c r="M39" s="34" t="str">
        <f>+_xlfn.XLOOKUP($C39,$C$72:$C$105,M$72:M$105,"")</f>
        <v/>
      </c>
      <c r="N39" s="34" t="str">
        <f>+_xlfn.XLOOKUP($C39,$C$72:$C$105,N$72:N$105,"")</f>
        <v/>
      </c>
      <c r="O39" s="34" t="str">
        <f>+_xlfn.XLOOKUP($C39,$C$72:$C$105,O$72:O$105,"")</f>
        <v/>
      </c>
      <c r="P39" s="34" t="str">
        <f>+_xlfn.XLOOKUP($C39,$C$72:$C$105,P$72:P$105,"")</f>
        <v/>
      </c>
      <c r="Q39" s="34" t="str">
        <f>+_xlfn.XLOOKUP($C39,$C$72:$C$105,Q$72:Q$105,"")</f>
        <v/>
      </c>
      <c r="R39" s="34" t="str">
        <f>+_xlfn.XLOOKUP($C39,$C$72:$C$105,R$72:R$105,"")</f>
        <v/>
      </c>
      <c r="S39" s="34" t="str">
        <f>+_xlfn.XLOOKUP($C39,$C$72:$C$105,S$72:S$105,"")</f>
        <v/>
      </c>
      <c r="T39" s="34" t="str">
        <f>+_xlfn.XLOOKUP($C39,$C$72:$C$105,T$72:T$105,"")</f>
        <v/>
      </c>
      <c r="U39" s="34" t="str">
        <f>+_xlfn.XLOOKUP($C39,$C$72:$C$105,U$72:U$105,"")</f>
        <v/>
      </c>
      <c r="V39" s="34" t="str">
        <f>+_xlfn.XLOOKUP($C39,$C$72:$C$105,V$72:V$105,"")</f>
        <v/>
      </c>
      <c r="W39" s="34" t="str">
        <f>+_xlfn.XLOOKUP($C39,$C$72:$C$105,W$72:W$105,"")</f>
        <v/>
      </c>
      <c r="X39" s="34" t="str">
        <f>+_xlfn.XLOOKUP($C39,$C$72:$C$105,X$72:X$105,"")</f>
        <v/>
      </c>
      <c r="Y39" s="34" t="str">
        <f>+_xlfn.XLOOKUP($C39,$C$72:$C$105,Y$72:Y$105,"")</f>
        <v/>
      </c>
      <c r="Z39" s="34">
        <f>+_xlfn.XLOOKUP($C39,$C$72:$C$105,Z$72:Z$105,"")</f>
        <v>-15</v>
      </c>
      <c r="AA39" s="34" t="str">
        <f>+_xlfn.XLOOKUP($C39,$C$72:$C$105,AA$72:AA$105,"")</f>
        <v/>
      </c>
      <c r="AB39" s="34" t="str">
        <f>+_xlfn.XLOOKUP($C39,$C$72:$C$105,AB$72:AB$105,"")</f>
        <v/>
      </c>
      <c r="AC39" s="34" t="str">
        <f>+_xlfn.XLOOKUP($C39,$C$72:$C$105,AC$72:AC$105,"")</f>
        <v/>
      </c>
      <c r="AD39" s="34" t="str">
        <f>+_xlfn.XLOOKUP($C39,$C$72:$C$105,AD$72:AD$105,"")</f>
        <v/>
      </c>
      <c r="AE39" s="34" t="str">
        <f>+_xlfn.XLOOKUP($C39,$C$72:$C$105,AE$72:AE$105,"")</f>
        <v/>
      </c>
      <c r="AF39" s="34" t="str">
        <f>+_xlfn.XLOOKUP($C39,$C$72:$C$105,AF$72:AF$105,"")</f>
        <v/>
      </c>
      <c r="AG39" s="34" t="str">
        <f>+_xlfn.XLOOKUP($C39,$C$72:$C$105,AG$72:AG$105,"")</f>
        <v/>
      </c>
      <c r="AH39" s="34" t="str">
        <f>+_xlfn.XLOOKUP($C39,$C$72:$C$105,AH$72:AH$105,"")</f>
        <v/>
      </c>
      <c r="AI39" s="34" t="str">
        <f>+_xlfn.XLOOKUP($C39,$C$72:$C$105,AI$72:AI$105,"")</f>
        <v/>
      </c>
      <c r="AJ39" s="34" t="str">
        <f>+_xlfn.XLOOKUP($C39,$C$72:$C$105,AJ$72:AJ$105,"")</f>
        <v/>
      </c>
      <c r="AK39" s="34" t="str">
        <f>+_xlfn.XLOOKUP($C39,$C$72:$C$105,AK$72:AK$105,"")</f>
        <v/>
      </c>
      <c r="AL39" s="34" t="str">
        <f>+_xlfn.XLOOKUP($C39,$C$72:$C$105,AL$72:AL$105,"")</f>
        <v/>
      </c>
      <c r="AM39" s="34" t="str">
        <f>+_xlfn.XLOOKUP($C39,$C$72:$C$105,AM$72:AM$105,"")</f>
        <v/>
      </c>
      <c r="AN39" s="34" t="str">
        <f>+_xlfn.XLOOKUP($C39,$C$72:$C$105,AN$72:AN$105,"")</f>
        <v/>
      </c>
      <c r="AO39" s="34" t="str">
        <f>+_xlfn.XLOOKUP($C39,$C$72:$C$105,AO$72:AO$105,"")</f>
        <v/>
      </c>
      <c r="AP39" s="34" t="str">
        <f>+_xlfn.XLOOKUP($C39,$C$72:$C$105,AP$72:AP$105,"")</f>
        <v/>
      </c>
      <c r="AQ39" s="34" t="str">
        <f>+_xlfn.XLOOKUP($C39,$C$72:$C$105,AQ$72:AQ$105,"")</f>
        <v/>
      </c>
      <c r="AR39" s="34" t="str">
        <f>+_xlfn.XLOOKUP($C39,$C$72:$C$105,AR$72:AR$105,"")</f>
        <v/>
      </c>
      <c r="AS39" s="34" t="str">
        <f>+_xlfn.XLOOKUP($C39,$C$72:$C$105,AS$72:AS$105,"")</f>
        <v/>
      </c>
      <c r="AT39" s="34" t="str">
        <f>+_xlfn.XLOOKUP($C39,$C$72:$C$105,AT$72:AT$105,"")</f>
        <v/>
      </c>
      <c r="AU39" s="34" t="str">
        <f>+_xlfn.XLOOKUP($C39,$C$72:$C$105,AU$72:AU$105,"")</f>
        <v/>
      </c>
      <c r="AV39" s="34" t="str">
        <f>+_xlfn.XLOOKUP($C39,$C$72:$C$105,AV$72:AV$105,"")</f>
        <v/>
      </c>
      <c r="AW39" s="34" t="str">
        <f>+_xlfn.XLOOKUP($C39,$C$72:$C$105,AW$72:AW$105,"")</f>
        <v/>
      </c>
      <c r="AX39" s="34" t="str">
        <f>+_xlfn.XLOOKUP($C39,$C$72:$C$105,AX$72:AX$105,"")</f>
        <v/>
      </c>
      <c r="AY39" s="34" t="str">
        <f>+_xlfn.XLOOKUP($C39,$C$72:$C$105,AY$72:AY$105,"")</f>
        <v/>
      </c>
      <c r="AZ39" s="34" t="str">
        <f>+_xlfn.XLOOKUP($C39,$C$72:$C$105,AZ$72:AZ$105,"")</f>
        <v/>
      </c>
      <c r="BA39" s="34" t="str">
        <f>+_xlfn.XLOOKUP($C39,$C$72:$C$105,BA$72:BA$105,"")</f>
        <v/>
      </c>
      <c r="BB39" s="34" t="str">
        <f>+_xlfn.XLOOKUP($C39,$C$72:$C$105,BB$72:BB$105,"")</f>
        <v/>
      </c>
      <c r="BC39" s="34" t="str">
        <f>+_xlfn.XLOOKUP($C39,$C$72:$C$105,BC$72:BC$105,"")</f>
        <v/>
      </c>
      <c r="BD39" s="34" t="str">
        <f>+_xlfn.XLOOKUP($C39,$C$72:$C$105,BD$72:BD$105,"")</f>
        <v/>
      </c>
      <c r="BE39" s="34" t="str">
        <f>+_xlfn.XLOOKUP($C39,$C$72:$C$105,BE$72:BE$105,"")</f>
        <v/>
      </c>
      <c r="BF39" s="34" t="str">
        <f>+_xlfn.XLOOKUP($C39,$C$72:$C$105,BF$72:BF$105,"")</f>
        <v/>
      </c>
      <c r="BG39" s="34" t="str">
        <f>+_xlfn.XLOOKUP($C39,$C$72:$C$105,BG$72:BG$105,"")</f>
        <v/>
      </c>
      <c r="BH39" s="34" t="str">
        <f>+_xlfn.XLOOKUP($C39,$C$72:$C$105,BH$72:BH$105,"")</f>
        <v/>
      </c>
      <c r="BI39" s="34" t="str">
        <f>+_xlfn.XLOOKUP($C39,$C$72:$C$105,BI$72:BI$105,"")</f>
        <v/>
      </c>
      <c r="BJ39" s="34" t="str">
        <f>+_xlfn.XLOOKUP($C39,$C$72:$C$105,BJ$72:BJ$105,"")</f>
        <v/>
      </c>
      <c r="BK39" s="34" t="str">
        <f>+_xlfn.XLOOKUP($C39,$C$72:$C$105,BK$72:BK$105,"")</f>
        <v/>
      </c>
      <c r="BL39" s="34" t="str">
        <f>+_xlfn.XLOOKUP($C39,$C$72:$C$105,BL$72:BL$105,"")</f>
        <v/>
      </c>
      <c r="BM39" s="34" t="str">
        <f>+_xlfn.XLOOKUP($C39,$C$72:$C$105,BM$72:BM$105,"")</f>
        <v/>
      </c>
      <c r="BN39" s="34" t="str">
        <f>+_xlfn.XLOOKUP($C39,$C$72:$C$105,BN$72:BN$105,"")</f>
        <v/>
      </c>
      <c r="BO39" s="34" t="str">
        <f>+_xlfn.XLOOKUP($C39,$C$72:$C$105,BO$72:BO$105,"")</f>
        <v/>
      </c>
      <c r="BP39" s="34" t="str">
        <f>+_xlfn.XLOOKUP($C39,$C$72:$C$105,BP$72:BP$105,"")</f>
        <v/>
      </c>
      <c r="BQ39" s="34" t="str">
        <f>+_xlfn.XLOOKUP($C39,$C$72:$C$105,BQ$72:BQ$105,"")</f>
        <v/>
      </c>
      <c r="BR39" s="34" t="str">
        <f>+_xlfn.XLOOKUP($C39,$C$72:$C$105,BR$72:BR$105,"")</f>
        <v/>
      </c>
      <c r="BS39" s="34" t="str">
        <f>+_xlfn.XLOOKUP($C39,$C$72:$C$105,BS$72:BS$105,"")</f>
        <v/>
      </c>
      <c r="BT39" s="34" t="str">
        <f>+_xlfn.XLOOKUP($C39,$C$72:$C$105,BT$72:BT$105,"")</f>
        <v/>
      </c>
      <c r="BU39" s="34" t="str">
        <f>+_xlfn.XLOOKUP($C39,$C$72:$C$105,BU$72:BU$105,"")</f>
        <v/>
      </c>
      <c r="BV39" s="34" t="str">
        <f>+_xlfn.XLOOKUP($C39,$C$72:$C$105,BV$72:BV$105,"")</f>
        <v/>
      </c>
      <c r="BW39" s="34" t="str">
        <f>+_xlfn.XLOOKUP($C39,$C$72:$C$105,BW$72:BW$105,"")</f>
        <v/>
      </c>
      <c r="BX39" s="34" t="str">
        <f>+_xlfn.XLOOKUP($C39,$C$72:$C$105,BX$72:BX$105,"")</f>
        <v/>
      </c>
      <c r="BY39" s="34" t="str">
        <f>+_xlfn.XLOOKUP($C39,$C$72:$C$105,BY$72:BY$105,"")</f>
        <v/>
      </c>
      <c r="BZ39" s="34" t="str">
        <f>+_xlfn.XLOOKUP($C39,$C$72:$C$105,BZ$72:BZ$105,"")</f>
        <v/>
      </c>
      <c r="CA39" s="34" t="str">
        <f>+_xlfn.XLOOKUP($C39,$C$72:$C$105,CA$72:CA$105,"")</f>
        <v/>
      </c>
      <c r="CB39" s="34" t="str">
        <f>+_xlfn.XLOOKUP($C39,$C$72:$C$105,CB$72:CB$105,"")</f>
        <v/>
      </c>
      <c r="CC39" s="34" t="str">
        <f>+_xlfn.XLOOKUP($C39,$C$72:$C$105,CC$72:CC$105,"")</f>
        <v/>
      </c>
      <c r="CD39" s="34" t="str">
        <f>+_xlfn.XLOOKUP($C39,$C$72:$C$105,CD$72:CD$105,"")</f>
        <v/>
      </c>
      <c r="CE39" s="34" t="str">
        <f>+_xlfn.XLOOKUP($C39,$C$72:$C$105,CE$72:CE$105,"")</f>
        <v/>
      </c>
      <c r="CF39" s="34" t="str">
        <f>+_xlfn.XLOOKUP($C39,$C$72:$C$105,CF$72:CF$105,"")</f>
        <v/>
      </c>
      <c r="CG39" s="34" t="str">
        <f>+_xlfn.XLOOKUP($C39,$C$72:$C$105,CG$72:CG$105,"")</f>
        <v/>
      </c>
      <c r="CH39" s="34" t="str">
        <f>+_xlfn.XLOOKUP($C39,$C$72:$C$105,CH$72:CH$105,"")</f>
        <v/>
      </c>
      <c r="CI39" s="34" t="str">
        <f>+_xlfn.XLOOKUP($C39,$C$72:$C$105,CI$72:CI$105,"")</f>
        <v/>
      </c>
      <c r="CJ39" s="34" t="str">
        <f>+_xlfn.XLOOKUP($C39,$C$72:$C$105,CJ$72:CJ$105,"")</f>
        <v/>
      </c>
      <c r="CK39" s="34" t="str">
        <f>+_xlfn.XLOOKUP($C39,$C$72:$C$105,CK$72:CK$105,"")</f>
        <v/>
      </c>
      <c r="CL39" s="34" t="str">
        <f>+_xlfn.XLOOKUP($C39,$C$72:$C$105,CL$72:CL$105,"")</f>
        <v/>
      </c>
      <c r="CM39" s="34" t="str">
        <f>+_xlfn.XLOOKUP($C39,$C$72:$C$105,CM$72:CM$105,"")</f>
        <v/>
      </c>
      <c r="CN39" s="34" t="str">
        <f>+_xlfn.XLOOKUP($C39,$C$72:$C$105,CN$72:CN$105,"")</f>
        <v/>
      </c>
      <c r="CO39" s="35"/>
      <c r="CP39" s="36">
        <f>+_xlfn.XLOOKUP($C39,$C$72:$C$105,CP$72:CP$105,"")</f>
        <v>-15</v>
      </c>
      <c r="CQ39" s="34"/>
      <c r="CR39" s="37">
        <f>+_xlfn.XLOOKUP($C39,$C$72:$C$105,CR$72:CR$105,"")</f>
        <v>-1</v>
      </c>
      <c r="CS39" s="38">
        <f>+_xlfn.XLOOKUP($C39,$C$72:$C$105,CS$72:CS$105,"")</f>
        <v>1</v>
      </c>
      <c r="CT39" s="38">
        <f>+_xlfn.XLOOKUP($C39,$C$72:$C$105,CT$72:CT$105,"")</f>
        <v>0</v>
      </c>
      <c r="CU39" s="37">
        <f>+_xlfn.XLOOKUP($C39,$C$72:$C$105,CU$72:CU$105,"")</f>
        <v>0</v>
      </c>
      <c r="CV39" s="37">
        <f>+_xlfn.XLOOKUP($C39,$C$72:$C$105,CV$72:CV$105,"")</f>
        <v>0</v>
      </c>
      <c r="CW39" s="37">
        <f>+_xlfn.XLOOKUP($C39,$C$72:$C$105,CW$72:CW$105,"")</f>
        <v>0.16666666666666666</v>
      </c>
      <c r="CX39" s="39">
        <f>+_xlfn.XLOOKUP($C39,$C$72:$C$105,CX$72:CX$105,"")</f>
        <v>-15</v>
      </c>
    </row>
    <row r="40" spans="2:102" ht="12.75" customHeight="1" x14ac:dyDescent="0.2">
      <c r="B40" s="84">
        <f t="shared" si="94"/>
        <v>13</v>
      </c>
      <c r="C40" s="40" t="str">
        <v>Tomi Pihlajamaa</v>
      </c>
      <c r="D40" s="41" t="str">
        <f>+_xlfn.XLOOKUP($C40,$C$72:$C$105,D$72:D$105,"")</f>
        <v/>
      </c>
      <c r="E40" s="41" t="str">
        <f>+_xlfn.XLOOKUP($C40,$C$72:$C$105,E$72:E$105,"")</f>
        <v/>
      </c>
      <c r="F40" s="41" t="str">
        <f>+_xlfn.XLOOKUP($C40,$C$72:$C$105,F$72:F$105,"")</f>
        <v/>
      </c>
      <c r="G40" s="41" t="str">
        <f>+_xlfn.XLOOKUP($C40,$C$72:$C$105,G$72:G$105,"")</f>
        <v/>
      </c>
      <c r="H40" s="41" t="str">
        <f>+_xlfn.XLOOKUP($C40,$C$72:$C$105,H$72:H$105,"")</f>
        <v/>
      </c>
      <c r="I40" s="41" t="str">
        <f>+_xlfn.XLOOKUP($C40,$C$72:$C$105,I$72:I$105,"")</f>
        <v/>
      </c>
      <c r="J40" s="41" t="str">
        <f>+_xlfn.XLOOKUP($C40,$C$72:$C$105,J$72:J$105,"")</f>
        <v/>
      </c>
      <c r="K40" s="41" t="str">
        <f>+_xlfn.XLOOKUP($C40,$C$72:$C$105,K$72:K$105,"")</f>
        <v/>
      </c>
      <c r="L40" s="41" t="str">
        <f>+_xlfn.XLOOKUP($C40,$C$72:$C$105,L$72:L$105,"")</f>
        <v/>
      </c>
      <c r="M40" s="41" t="str">
        <f>+_xlfn.XLOOKUP($C40,$C$72:$C$105,M$72:M$105,"")</f>
        <v/>
      </c>
      <c r="N40" s="41" t="str">
        <f>+_xlfn.XLOOKUP($C40,$C$72:$C$105,N$72:N$105,"")</f>
        <v/>
      </c>
      <c r="O40" s="41" t="str">
        <f>+_xlfn.XLOOKUP($C40,$C$72:$C$105,O$72:O$105,"")</f>
        <v/>
      </c>
      <c r="P40" s="41" t="str">
        <f>+_xlfn.XLOOKUP($C40,$C$72:$C$105,P$72:P$105,"")</f>
        <v/>
      </c>
      <c r="Q40" s="41" t="str">
        <f>+_xlfn.XLOOKUP($C40,$C$72:$C$105,Q$72:Q$105,"")</f>
        <v/>
      </c>
      <c r="R40" s="41" t="str">
        <f>+_xlfn.XLOOKUP($C40,$C$72:$C$105,R$72:R$105,"")</f>
        <v/>
      </c>
      <c r="S40" s="41" t="str">
        <f>+_xlfn.XLOOKUP($C40,$C$72:$C$105,S$72:S$105,"")</f>
        <v/>
      </c>
      <c r="T40" s="41" t="str">
        <f>+_xlfn.XLOOKUP($C40,$C$72:$C$105,T$72:T$105,"")</f>
        <v/>
      </c>
      <c r="U40" s="41" t="str">
        <f>+_xlfn.XLOOKUP($C40,$C$72:$C$105,U$72:U$105,"")</f>
        <v/>
      </c>
      <c r="V40" s="41" t="str">
        <f>+_xlfn.XLOOKUP($C40,$C$72:$C$105,V$72:V$105,"")</f>
        <v/>
      </c>
      <c r="W40" s="41" t="str">
        <f>+_xlfn.XLOOKUP($C40,$C$72:$C$105,W$72:W$105,"")</f>
        <v/>
      </c>
      <c r="X40" s="41" t="str">
        <f>+_xlfn.XLOOKUP($C40,$C$72:$C$105,X$72:X$105,"")</f>
        <v/>
      </c>
      <c r="Y40" s="41" t="str">
        <f>+_xlfn.XLOOKUP($C40,$C$72:$C$105,Y$72:Y$105,"")</f>
        <v/>
      </c>
      <c r="Z40" s="41" t="str">
        <f>+_xlfn.XLOOKUP($C40,$C$72:$C$105,Z$72:Z$105,"")</f>
        <v/>
      </c>
      <c r="AA40" s="41" t="str">
        <f>+_xlfn.XLOOKUP($C40,$C$72:$C$105,AA$72:AA$105,"")</f>
        <v/>
      </c>
      <c r="AB40" s="41" t="str">
        <f>+_xlfn.XLOOKUP($C40,$C$72:$C$105,AB$72:AB$105,"")</f>
        <v/>
      </c>
      <c r="AC40" s="41" t="str">
        <f>+_xlfn.XLOOKUP($C40,$C$72:$C$105,AC$72:AC$105,"")</f>
        <v/>
      </c>
      <c r="AD40" s="41" t="str">
        <f>+_xlfn.XLOOKUP($C40,$C$72:$C$105,AD$72:AD$105,"")</f>
        <v/>
      </c>
      <c r="AE40" s="41" t="str">
        <f>+_xlfn.XLOOKUP($C40,$C$72:$C$105,AE$72:AE$105,"")</f>
        <v/>
      </c>
      <c r="AF40" s="41" t="str">
        <f>+_xlfn.XLOOKUP($C40,$C$72:$C$105,AF$72:AF$105,"")</f>
        <v/>
      </c>
      <c r="AG40" s="41" t="str">
        <f>+_xlfn.XLOOKUP($C40,$C$72:$C$105,AG$72:AG$105,"")</f>
        <v/>
      </c>
      <c r="AH40" s="41" t="str">
        <f>+_xlfn.XLOOKUP($C40,$C$72:$C$105,AH$72:AH$105,"")</f>
        <v/>
      </c>
      <c r="AI40" s="41" t="str">
        <f>+_xlfn.XLOOKUP($C40,$C$72:$C$105,AI$72:AI$105,"")</f>
        <v/>
      </c>
      <c r="AJ40" s="41" t="str">
        <f>+_xlfn.XLOOKUP($C40,$C$72:$C$105,AJ$72:AJ$105,"")</f>
        <v/>
      </c>
      <c r="AK40" s="41" t="str">
        <f>+_xlfn.XLOOKUP($C40,$C$72:$C$105,AK$72:AK$105,"")</f>
        <v/>
      </c>
      <c r="AL40" s="41" t="str">
        <f>+_xlfn.XLOOKUP($C40,$C$72:$C$105,AL$72:AL$105,"")</f>
        <v/>
      </c>
      <c r="AM40" s="41" t="str">
        <f>+_xlfn.XLOOKUP($C40,$C$72:$C$105,AM$72:AM$105,"")</f>
        <v/>
      </c>
      <c r="AN40" s="41" t="str">
        <f>+_xlfn.XLOOKUP($C40,$C$72:$C$105,AN$72:AN$105,"")</f>
        <v/>
      </c>
      <c r="AO40" s="41" t="str">
        <f>+_xlfn.XLOOKUP($C40,$C$72:$C$105,AO$72:AO$105,"")</f>
        <v/>
      </c>
      <c r="AP40" s="41" t="str">
        <f>+_xlfn.XLOOKUP($C40,$C$72:$C$105,AP$72:AP$105,"")</f>
        <v/>
      </c>
      <c r="AQ40" s="41" t="str">
        <f>+_xlfn.XLOOKUP($C40,$C$72:$C$105,AQ$72:AQ$105,"")</f>
        <v/>
      </c>
      <c r="AR40" s="41" t="str">
        <f>+_xlfn.XLOOKUP($C40,$C$72:$C$105,AR$72:AR$105,"")</f>
        <v/>
      </c>
      <c r="AS40" s="41" t="str">
        <f>+_xlfn.XLOOKUP($C40,$C$72:$C$105,AS$72:AS$105,"")</f>
        <v/>
      </c>
      <c r="AT40" s="41" t="str">
        <f>+_xlfn.XLOOKUP($C40,$C$72:$C$105,AT$72:AT$105,"")</f>
        <v/>
      </c>
      <c r="AU40" s="41" t="str">
        <f>+_xlfn.XLOOKUP($C40,$C$72:$C$105,AU$72:AU$105,"")</f>
        <v/>
      </c>
      <c r="AV40" s="41" t="str">
        <f>+_xlfn.XLOOKUP($C40,$C$72:$C$105,AV$72:AV$105,"")</f>
        <v/>
      </c>
      <c r="AW40" s="41">
        <f>+_xlfn.XLOOKUP($C40,$C$72:$C$105,AW$72:AW$105,"")</f>
        <v>-15</v>
      </c>
      <c r="AX40" s="41" t="str">
        <f>+_xlfn.XLOOKUP($C40,$C$72:$C$105,AX$72:AX$105,"")</f>
        <v/>
      </c>
      <c r="AY40" s="41" t="str">
        <f>+_xlfn.XLOOKUP($C40,$C$72:$C$105,AY$72:AY$105,"")</f>
        <v/>
      </c>
      <c r="AZ40" s="41" t="str">
        <f>+_xlfn.XLOOKUP($C40,$C$72:$C$105,AZ$72:AZ$105,"")</f>
        <v/>
      </c>
      <c r="BA40" s="41" t="str">
        <f>+_xlfn.XLOOKUP($C40,$C$72:$C$105,BA$72:BA$105,"")</f>
        <v/>
      </c>
      <c r="BB40" s="41" t="str">
        <f>+_xlfn.XLOOKUP($C40,$C$72:$C$105,BB$72:BB$105,"")</f>
        <v/>
      </c>
      <c r="BC40" s="41" t="str">
        <f>+_xlfn.XLOOKUP($C40,$C$72:$C$105,BC$72:BC$105,"")</f>
        <v/>
      </c>
      <c r="BD40" s="41" t="str">
        <f>+_xlfn.XLOOKUP($C40,$C$72:$C$105,BD$72:BD$105,"")</f>
        <v/>
      </c>
      <c r="BE40" s="41" t="str">
        <f>+_xlfn.XLOOKUP($C40,$C$72:$C$105,BE$72:BE$105,"")</f>
        <v/>
      </c>
      <c r="BF40" s="41" t="str">
        <f>+_xlfn.XLOOKUP($C40,$C$72:$C$105,BF$72:BF$105,"")</f>
        <v/>
      </c>
      <c r="BG40" s="41" t="str">
        <f>+_xlfn.XLOOKUP($C40,$C$72:$C$105,BG$72:BG$105,"")</f>
        <v/>
      </c>
      <c r="BH40" s="41" t="str">
        <f>+_xlfn.XLOOKUP($C40,$C$72:$C$105,BH$72:BH$105,"")</f>
        <v/>
      </c>
      <c r="BI40" s="41" t="str">
        <f>+_xlfn.XLOOKUP($C40,$C$72:$C$105,BI$72:BI$105,"")</f>
        <v/>
      </c>
      <c r="BJ40" s="41" t="str">
        <f>+_xlfn.XLOOKUP($C40,$C$72:$C$105,BJ$72:BJ$105,"")</f>
        <v/>
      </c>
      <c r="BK40" s="41" t="str">
        <f>+_xlfn.XLOOKUP($C40,$C$72:$C$105,BK$72:BK$105,"")</f>
        <v/>
      </c>
      <c r="BL40" s="41" t="str">
        <f>+_xlfn.XLOOKUP($C40,$C$72:$C$105,BL$72:BL$105,"")</f>
        <v/>
      </c>
      <c r="BM40" s="41" t="str">
        <f>+_xlfn.XLOOKUP($C40,$C$72:$C$105,BM$72:BM$105,"")</f>
        <v/>
      </c>
      <c r="BN40" s="41" t="str">
        <f>+_xlfn.XLOOKUP($C40,$C$72:$C$105,BN$72:BN$105,"")</f>
        <v/>
      </c>
      <c r="BO40" s="41" t="str">
        <f>+_xlfn.XLOOKUP($C40,$C$72:$C$105,BO$72:BO$105,"")</f>
        <v/>
      </c>
      <c r="BP40" s="41" t="str">
        <f>+_xlfn.XLOOKUP($C40,$C$72:$C$105,BP$72:BP$105,"")</f>
        <v/>
      </c>
      <c r="BQ40" s="41" t="str">
        <f>+_xlfn.XLOOKUP($C40,$C$72:$C$105,BQ$72:BQ$105,"")</f>
        <v/>
      </c>
      <c r="BR40" s="41" t="str">
        <f>+_xlfn.XLOOKUP($C40,$C$72:$C$105,BR$72:BR$105,"")</f>
        <v/>
      </c>
      <c r="BS40" s="41" t="str">
        <f>+_xlfn.XLOOKUP($C40,$C$72:$C$105,BS$72:BS$105,"")</f>
        <v/>
      </c>
      <c r="BT40" s="41" t="str">
        <f>+_xlfn.XLOOKUP($C40,$C$72:$C$105,BT$72:BT$105,"")</f>
        <v/>
      </c>
      <c r="BU40" s="41" t="str">
        <f>+_xlfn.XLOOKUP($C40,$C$72:$C$105,BU$72:BU$105,"")</f>
        <v/>
      </c>
      <c r="BV40" s="41" t="str">
        <f>+_xlfn.XLOOKUP($C40,$C$72:$C$105,BV$72:BV$105,"")</f>
        <v/>
      </c>
      <c r="BW40" s="41" t="str">
        <f>+_xlfn.XLOOKUP($C40,$C$72:$C$105,BW$72:BW$105,"")</f>
        <v/>
      </c>
      <c r="BX40" s="41" t="str">
        <f>+_xlfn.XLOOKUP($C40,$C$72:$C$105,BX$72:BX$105,"")</f>
        <v/>
      </c>
      <c r="BY40" s="41" t="str">
        <f>+_xlfn.XLOOKUP($C40,$C$72:$C$105,BY$72:BY$105,"")</f>
        <v/>
      </c>
      <c r="BZ40" s="41" t="str">
        <f>+_xlfn.XLOOKUP($C40,$C$72:$C$105,BZ$72:BZ$105,"")</f>
        <v/>
      </c>
      <c r="CA40" s="41" t="str">
        <f>+_xlfn.XLOOKUP($C40,$C$72:$C$105,CA$72:CA$105,"")</f>
        <v/>
      </c>
      <c r="CB40" s="41" t="str">
        <f>+_xlfn.XLOOKUP($C40,$C$72:$C$105,CB$72:CB$105,"")</f>
        <v/>
      </c>
      <c r="CC40" s="41" t="str">
        <f>+_xlfn.XLOOKUP($C40,$C$72:$C$105,CC$72:CC$105,"")</f>
        <v/>
      </c>
      <c r="CD40" s="41" t="str">
        <f>+_xlfn.XLOOKUP($C40,$C$72:$C$105,CD$72:CD$105,"")</f>
        <v/>
      </c>
      <c r="CE40" s="41" t="str">
        <f>+_xlfn.XLOOKUP($C40,$C$72:$C$105,CE$72:CE$105,"")</f>
        <v/>
      </c>
      <c r="CF40" s="41" t="str">
        <f>+_xlfn.XLOOKUP($C40,$C$72:$C$105,CF$72:CF$105,"")</f>
        <v/>
      </c>
      <c r="CG40" s="41" t="str">
        <f>+_xlfn.XLOOKUP($C40,$C$72:$C$105,CG$72:CG$105,"")</f>
        <v/>
      </c>
      <c r="CH40" s="41" t="str">
        <f>+_xlfn.XLOOKUP($C40,$C$72:$C$105,CH$72:CH$105,"")</f>
        <v/>
      </c>
      <c r="CI40" s="41" t="str">
        <f>+_xlfn.XLOOKUP($C40,$C$72:$C$105,CI$72:CI$105,"")</f>
        <v/>
      </c>
      <c r="CJ40" s="41" t="str">
        <f>+_xlfn.XLOOKUP($C40,$C$72:$C$105,CJ$72:CJ$105,"")</f>
        <v/>
      </c>
      <c r="CK40" s="41" t="str">
        <f>+_xlfn.XLOOKUP($C40,$C$72:$C$105,CK$72:CK$105,"")</f>
        <v/>
      </c>
      <c r="CL40" s="41" t="str">
        <f>+_xlfn.XLOOKUP($C40,$C$72:$C$105,CL$72:CL$105,"")</f>
        <v/>
      </c>
      <c r="CM40" s="41" t="str">
        <f>+_xlfn.XLOOKUP($C40,$C$72:$C$105,CM$72:CM$105,"")</f>
        <v/>
      </c>
      <c r="CN40" s="41" t="str">
        <f>+_xlfn.XLOOKUP($C40,$C$72:$C$105,CN$72:CN$105,"")</f>
        <v/>
      </c>
      <c r="CO40" s="42"/>
      <c r="CP40" s="29">
        <f>+_xlfn.XLOOKUP($C40,$C$72:$C$105,CP$72:CP$105,"")</f>
        <v>-15</v>
      </c>
      <c r="CQ40" s="41"/>
      <c r="CR40" s="30">
        <f>+_xlfn.XLOOKUP($C40,$C$72:$C$105,CR$72:CR$105,"")</f>
        <v>-1</v>
      </c>
      <c r="CS40" s="31">
        <f>+_xlfn.XLOOKUP($C40,$C$72:$C$105,CS$72:CS$105,"")</f>
        <v>1</v>
      </c>
      <c r="CT40" s="31">
        <f>+_xlfn.XLOOKUP($C40,$C$72:$C$105,CT$72:CT$105,"")</f>
        <v>0</v>
      </c>
      <c r="CU40" s="30">
        <f>+_xlfn.XLOOKUP($C40,$C$72:$C$105,CU$72:CU$105,"")</f>
        <v>0</v>
      </c>
      <c r="CV40" s="30">
        <f>+_xlfn.XLOOKUP($C40,$C$72:$C$105,CV$72:CV$105,"")</f>
        <v>0</v>
      </c>
      <c r="CW40" s="30">
        <f>+_xlfn.XLOOKUP($C40,$C$72:$C$105,CW$72:CW$105,"")</f>
        <v>8.3333333333333329E-2</v>
      </c>
      <c r="CX40" s="32">
        <f>+_xlfn.XLOOKUP($C40,$C$72:$C$105,CX$72:CX$105,"")</f>
        <v>-15</v>
      </c>
    </row>
    <row r="41" spans="2:102" ht="12.75" customHeight="1" x14ac:dyDescent="0.2">
      <c r="B41" s="83">
        <f t="shared" si="94"/>
        <v>14</v>
      </c>
      <c r="C41" s="33" t="str">
        <v>Atte Rouhe</v>
      </c>
      <c r="D41" s="34" t="str">
        <f>+_xlfn.XLOOKUP($C41,$C$72:$C$105,D$72:D$105,"")</f>
        <v/>
      </c>
      <c r="E41" s="34" t="str">
        <f>+_xlfn.XLOOKUP($C41,$C$72:$C$105,E$72:E$105,"")</f>
        <v/>
      </c>
      <c r="F41" s="34" t="str">
        <f>+_xlfn.XLOOKUP($C41,$C$72:$C$105,F$72:F$105,"")</f>
        <v/>
      </c>
      <c r="G41" s="34" t="str">
        <f>+_xlfn.XLOOKUP($C41,$C$72:$C$105,G$72:G$105,"")</f>
        <v/>
      </c>
      <c r="H41" s="34" t="str">
        <f>+_xlfn.XLOOKUP($C41,$C$72:$C$105,H$72:H$105,"")</f>
        <v/>
      </c>
      <c r="I41" s="34" t="str">
        <f>+_xlfn.XLOOKUP($C41,$C$72:$C$105,I$72:I$105,"")</f>
        <v/>
      </c>
      <c r="J41" s="34" t="str">
        <f>+_xlfn.XLOOKUP($C41,$C$72:$C$105,J$72:J$105,"")</f>
        <v/>
      </c>
      <c r="K41" s="34" t="str">
        <f>+_xlfn.XLOOKUP($C41,$C$72:$C$105,K$72:K$105,"")</f>
        <v/>
      </c>
      <c r="L41" s="34" t="str">
        <f>+_xlfn.XLOOKUP($C41,$C$72:$C$105,L$72:L$105,"")</f>
        <v/>
      </c>
      <c r="M41" s="34" t="str">
        <f>+_xlfn.XLOOKUP($C41,$C$72:$C$105,M$72:M$105,"")</f>
        <v/>
      </c>
      <c r="N41" s="34">
        <f>+_xlfn.XLOOKUP($C41,$C$72:$C$105,N$72:N$105,"")</f>
        <v>-15</v>
      </c>
      <c r="O41" s="34" t="str">
        <f>+_xlfn.XLOOKUP($C41,$C$72:$C$105,O$72:O$105,"")</f>
        <v/>
      </c>
      <c r="P41" s="34" t="str">
        <f>+_xlfn.XLOOKUP($C41,$C$72:$C$105,P$72:P$105,"")</f>
        <v/>
      </c>
      <c r="Q41" s="34" t="str">
        <f>+_xlfn.XLOOKUP($C41,$C$72:$C$105,Q$72:Q$105,"")</f>
        <v/>
      </c>
      <c r="R41" s="34" t="str">
        <f>+_xlfn.XLOOKUP($C41,$C$72:$C$105,R$72:R$105,"")</f>
        <v/>
      </c>
      <c r="S41" s="34">
        <f>+_xlfn.XLOOKUP($C41,$C$72:$C$105,S$72:S$105,"")</f>
        <v>84.77000000000001</v>
      </c>
      <c r="T41" s="34" t="str">
        <f>+_xlfn.XLOOKUP($C41,$C$72:$C$105,T$72:T$105,"")</f>
        <v/>
      </c>
      <c r="U41" s="34" t="str">
        <f>+_xlfn.XLOOKUP($C41,$C$72:$C$105,U$72:U$105,"")</f>
        <v/>
      </c>
      <c r="V41" s="34" t="str">
        <f>+_xlfn.XLOOKUP($C41,$C$72:$C$105,V$72:V$105,"")</f>
        <v/>
      </c>
      <c r="W41" s="34" t="str">
        <f>+_xlfn.XLOOKUP($C41,$C$72:$C$105,W$72:W$105,"")</f>
        <v/>
      </c>
      <c r="X41" s="34" t="str">
        <f>+_xlfn.XLOOKUP($C41,$C$72:$C$105,X$72:X$105,"")</f>
        <v/>
      </c>
      <c r="Y41" s="34" t="str">
        <f>+_xlfn.XLOOKUP($C41,$C$72:$C$105,Y$72:Y$105,"")</f>
        <v/>
      </c>
      <c r="Z41" s="34" t="str">
        <f>+_xlfn.XLOOKUP($C41,$C$72:$C$105,Z$72:Z$105,"")</f>
        <v/>
      </c>
      <c r="AA41" s="34" t="str">
        <f>+_xlfn.XLOOKUP($C41,$C$72:$C$105,AA$72:AA$105,"")</f>
        <v/>
      </c>
      <c r="AB41" s="34" t="str">
        <f>+_xlfn.XLOOKUP($C41,$C$72:$C$105,AB$72:AB$105,"")</f>
        <v/>
      </c>
      <c r="AC41" s="34" t="str">
        <f>+_xlfn.XLOOKUP($C41,$C$72:$C$105,AC$72:AC$105,"")</f>
        <v/>
      </c>
      <c r="AD41" s="34" t="str">
        <f>+_xlfn.XLOOKUP($C41,$C$72:$C$105,AD$72:AD$105,"")</f>
        <v/>
      </c>
      <c r="AE41" s="34" t="str">
        <f>+_xlfn.XLOOKUP($C41,$C$72:$C$105,AE$72:AE$105,"")</f>
        <v/>
      </c>
      <c r="AF41" s="34" t="str">
        <f>+_xlfn.XLOOKUP($C41,$C$72:$C$105,AF$72:AF$105,"")</f>
        <v/>
      </c>
      <c r="AG41" s="34" t="str">
        <f>+_xlfn.XLOOKUP($C41,$C$72:$C$105,AG$72:AG$105,"")</f>
        <v/>
      </c>
      <c r="AH41" s="34" t="str">
        <f>+_xlfn.XLOOKUP($C41,$C$72:$C$105,AH$72:AH$105,"")</f>
        <v/>
      </c>
      <c r="AI41" s="34" t="str">
        <f>+_xlfn.XLOOKUP($C41,$C$72:$C$105,AI$72:AI$105,"")</f>
        <v/>
      </c>
      <c r="AJ41" s="34">
        <f>+_xlfn.XLOOKUP($C41,$C$72:$C$105,AJ$72:AJ$105,"")</f>
        <v>-15</v>
      </c>
      <c r="AK41" s="34" t="str">
        <f>+_xlfn.XLOOKUP($C41,$C$72:$C$105,AK$72:AK$105,"")</f>
        <v/>
      </c>
      <c r="AL41" s="34" t="str">
        <f>+_xlfn.XLOOKUP($C41,$C$72:$C$105,AL$72:AL$105,"")</f>
        <v/>
      </c>
      <c r="AM41" s="34" t="str">
        <f>+_xlfn.XLOOKUP($C41,$C$72:$C$105,AM$72:AM$105,"")</f>
        <v/>
      </c>
      <c r="AN41" s="34" t="str">
        <f>+_xlfn.XLOOKUP($C41,$C$72:$C$105,AN$72:AN$105,"")</f>
        <v/>
      </c>
      <c r="AO41" s="34" t="str">
        <f>+_xlfn.XLOOKUP($C41,$C$72:$C$105,AO$72:AO$105,"")</f>
        <v/>
      </c>
      <c r="AP41" s="34" t="str">
        <f>+_xlfn.XLOOKUP($C41,$C$72:$C$105,AP$72:AP$105,"")</f>
        <v/>
      </c>
      <c r="AQ41" s="34" t="str">
        <f>+_xlfn.XLOOKUP($C41,$C$72:$C$105,AQ$72:AQ$105,"")</f>
        <v/>
      </c>
      <c r="AR41" s="34" t="str">
        <f>+_xlfn.XLOOKUP($C41,$C$72:$C$105,AR$72:AR$105,"")</f>
        <v/>
      </c>
      <c r="AS41" s="34" t="str">
        <f>+_xlfn.XLOOKUP($C41,$C$72:$C$105,AS$72:AS$105,"")</f>
        <v/>
      </c>
      <c r="AT41" s="34" t="str">
        <f>+_xlfn.XLOOKUP($C41,$C$72:$C$105,AT$72:AT$105,"")</f>
        <v/>
      </c>
      <c r="AU41" s="34" t="str">
        <f>+_xlfn.XLOOKUP($C41,$C$72:$C$105,AU$72:AU$105,"")</f>
        <v/>
      </c>
      <c r="AV41" s="34">
        <f>+_xlfn.XLOOKUP($C41,$C$72:$C$105,AV$72:AV$105,"")</f>
        <v>-15</v>
      </c>
      <c r="AW41" s="34" t="str">
        <f>+_xlfn.XLOOKUP($C41,$C$72:$C$105,AW$72:AW$105,"")</f>
        <v/>
      </c>
      <c r="AX41" s="34" t="str">
        <f>+_xlfn.XLOOKUP($C41,$C$72:$C$105,AX$72:AX$105,"")</f>
        <v/>
      </c>
      <c r="AY41" s="34" t="str">
        <f>+_xlfn.XLOOKUP($C41,$C$72:$C$105,AY$72:AY$105,"")</f>
        <v/>
      </c>
      <c r="AZ41" s="34" t="str">
        <f>+_xlfn.XLOOKUP($C41,$C$72:$C$105,AZ$72:AZ$105,"")</f>
        <v/>
      </c>
      <c r="BA41" s="34" t="str">
        <f>+_xlfn.XLOOKUP($C41,$C$72:$C$105,BA$72:BA$105,"")</f>
        <v/>
      </c>
      <c r="BB41" s="34" t="str">
        <f>+_xlfn.XLOOKUP($C41,$C$72:$C$105,BB$72:BB$105,"")</f>
        <v/>
      </c>
      <c r="BC41" s="34">
        <f>+_xlfn.XLOOKUP($C41,$C$72:$C$105,BC$72:BC$105,"")</f>
        <v>-20</v>
      </c>
      <c r="BD41" s="34">
        <f>+_xlfn.XLOOKUP($C41,$C$72:$C$105,BD$72:BD$105,"")</f>
        <v>-20</v>
      </c>
      <c r="BE41" s="34">
        <f>+_xlfn.XLOOKUP($C41,$C$72:$C$105,BE$72:BE$105,"")</f>
        <v>30</v>
      </c>
      <c r="BF41" s="34">
        <f>+_xlfn.XLOOKUP($C41,$C$72:$C$105,BF$72:BF$105,"")</f>
        <v>-10</v>
      </c>
      <c r="BG41" s="34">
        <f>+_xlfn.XLOOKUP($C41,$C$72:$C$105,BG$72:BG$105,"")</f>
        <v>-15</v>
      </c>
      <c r="BH41" s="34" t="str">
        <f>+_xlfn.XLOOKUP($C41,$C$72:$C$105,BH$72:BH$105,"")</f>
        <v/>
      </c>
      <c r="BI41" s="34" t="str">
        <f>+_xlfn.XLOOKUP($C41,$C$72:$C$105,BI$72:BI$105,"")</f>
        <v/>
      </c>
      <c r="BJ41" s="34" t="str">
        <f>+_xlfn.XLOOKUP($C41,$C$72:$C$105,BJ$72:BJ$105,"")</f>
        <v/>
      </c>
      <c r="BK41" s="34" t="str">
        <f>+_xlfn.XLOOKUP($C41,$C$72:$C$105,BK$72:BK$105,"")</f>
        <v/>
      </c>
      <c r="BL41" s="34" t="str">
        <f>+_xlfn.XLOOKUP($C41,$C$72:$C$105,BL$72:BL$105,"")</f>
        <v/>
      </c>
      <c r="BM41" s="34" t="str">
        <f>+_xlfn.XLOOKUP($C41,$C$72:$C$105,BM$72:BM$105,"")</f>
        <v/>
      </c>
      <c r="BN41" s="34" t="str">
        <f>+_xlfn.XLOOKUP($C41,$C$72:$C$105,BN$72:BN$105,"")</f>
        <v/>
      </c>
      <c r="BO41" s="34" t="str">
        <f>+_xlfn.XLOOKUP($C41,$C$72:$C$105,BO$72:BO$105,"")</f>
        <v/>
      </c>
      <c r="BP41" s="34">
        <f>+_xlfn.XLOOKUP($C41,$C$72:$C$105,BP$72:BP$105,"")</f>
        <v>-20</v>
      </c>
      <c r="BQ41" s="34" t="str">
        <f>+_xlfn.XLOOKUP($C41,$C$72:$C$105,BQ$72:BQ$105,"")</f>
        <v/>
      </c>
      <c r="BR41" s="34" t="str">
        <f>+_xlfn.XLOOKUP($C41,$C$72:$C$105,BR$72:BR$105,"")</f>
        <v/>
      </c>
      <c r="BS41" s="34" t="str">
        <f>+_xlfn.XLOOKUP($C41,$C$72:$C$105,BS$72:BS$105,"")</f>
        <v/>
      </c>
      <c r="BT41" s="34" t="str">
        <f>+_xlfn.XLOOKUP($C41,$C$72:$C$105,BT$72:BT$105,"")</f>
        <v/>
      </c>
      <c r="BU41" s="34" t="str">
        <f>+_xlfn.XLOOKUP($C41,$C$72:$C$105,BU$72:BU$105,"")</f>
        <v/>
      </c>
      <c r="BV41" s="34" t="str">
        <f>+_xlfn.XLOOKUP($C41,$C$72:$C$105,BV$72:BV$105,"")</f>
        <v/>
      </c>
      <c r="BW41" s="34" t="str">
        <f>+_xlfn.XLOOKUP($C41,$C$72:$C$105,BW$72:BW$105,"")</f>
        <v/>
      </c>
      <c r="BX41" s="34" t="str">
        <f>+_xlfn.XLOOKUP($C41,$C$72:$C$105,BX$72:BX$105,"")</f>
        <v/>
      </c>
      <c r="BY41" s="34" t="str">
        <f>+_xlfn.XLOOKUP($C41,$C$72:$C$105,BY$72:BY$105,"")</f>
        <v/>
      </c>
      <c r="BZ41" s="34" t="str">
        <f>+_xlfn.XLOOKUP($C41,$C$72:$C$105,BZ$72:BZ$105,"")</f>
        <v/>
      </c>
      <c r="CA41" s="34" t="str">
        <f>+_xlfn.XLOOKUP($C41,$C$72:$C$105,CA$72:CA$105,"")</f>
        <v/>
      </c>
      <c r="CB41" s="34" t="str">
        <f>+_xlfn.XLOOKUP($C41,$C$72:$C$105,CB$72:CB$105,"")</f>
        <v/>
      </c>
      <c r="CC41" s="34" t="str">
        <f>+_xlfn.XLOOKUP($C41,$C$72:$C$105,CC$72:CC$105,"")</f>
        <v/>
      </c>
      <c r="CD41" s="34" t="str">
        <f>+_xlfn.XLOOKUP($C41,$C$72:$C$105,CD$72:CD$105,"")</f>
        <v/>
      </c>
      <c r="CE41" s="34" t="str">
        <f>+_xlfn.XLOOKUP($C41,$C$72:$C$105,CE$72:CE$105,"")</f>
        <v/>
      </c>
      <c r="CF41" s="34" t="str">
        <f>+_xlfn.XLOOKUP($C41,$C$72:$C$105,CF$72:CF$105,"")</f>
        <v/>
      </c>
      <c r="CG41" s="34" t="str">
        <f>+_xlfn.XLOOKUP($C41,$C$72:$C$105,CG$72:CG$105,"")</f>
        <v/>
      </c>
      <c r="CH41" s="34" t="str">
        <f>+_xlfn.XLOOKUP($C41,$C$72:$C$105,CH$72:CH$105,"")</f>
        <v/>
      </c>
      <c r="CI41" s="34" t="str">
        <f>+_xlfn.XLOOKUP($C41,$C$72:$C$105,CI$72:CI$105,"")</f>
        <v/>
      </c>
      <c r="CJ41" s="34" t="str">
        <f>+_xlfn.XLOOKUP($C41,$C$72:$C$105,CJ$72:CJ$105,"")</f>
        <v/>
      </c>
      <c r="CK41" s="34" t="str">
        <f>+_xlfn.XLOOKUP($C41,$C$72:$C$105,CK$72:CK$105,"")</f>
        <v/>
      </c>
      <c r="CL41" s="34" t="str">
        <f>+_xlfn.XLOOKUP($C41,$C$72:$C$105,CL$72:CL$105,"")</f>
        <v/>
      </c>
      <c r="CM41" s="34" t="str">
        <f>+_xlfn.XLOOKUP($C41,$C$72:$C$105,CM$72:CM$105,"")</f>
        <v/>
      </c>
      <c r="CN41" s="34" t="str">
        <f>+_xlfn.XLOOKUP($C41,$C$72:$C$105,CN$72:CN$105,"")</f>
        <v/>
      </c>
      <c r="CO41" s="35"/>
      <c r="CP41" s="36">
        <f>+_xlfn.XLOOKUP($C41,$C$72:$C$105,CP$72:CP$105,"")</f>
        <v>-15.22999999999999</v>
      </c>
      <c r="CQ41" s="34"/>
      <c r="CR41" s="37">
        <f>+_xlfn.XLOOKUP($C41,$C$72:$C$105,CR$72:CR$105,"")</f>
        <v>-9.8258064516128951E-2</v>
      </c>
      <c r="CS41" s="38">
        <f>+_xlfn.XLOOKUP($C41,$C$72:$C$105,CS$72:CS$105,"")</f>
        <v>10</v>
      </c>
      <c r="CT41" s="38">
        <f>+_xlfn.XLOOKUP($C41,$C$72:$C$105,CT$72:CT$105,"")</f>
        <v>2</v>
      </c>
      <c r="CU41" s="37">
        <f>+_xlfn.XLOOKUP($C41,$C$72:$C$105,CU$72:CU$105,"")</f>
        <v>0.2</v>
      </c>
      <c r="CV41" s="37">
        <f>+_xlfn.XLOOKUP($C41,$C$72:$C$105,CV$72:CV$105,"")</f>
        <v>9.6077043106470444E-2</v>
      </c>
      <c r="CW41" s="37">
        <f>+_xlfn.XLOOKUP($C41,$C$72:$C$105,CW$72:CW$105,"")</f>
        <v>0.10654605195322972</v>
      </c>
      <c r="CX41" s="39">
        <f>+_xlfn.XLOOKUP($C41,$C$72:$C$105,CX$72:CX$105,"")</f>
        <v>-1.522999999999999</v>
      </c>
    </row>
    <row r="42" spans="2:102" ht="12.75" customHeight="1" x14ac:dyDescent="0.2">
      <c r="B42" s="84">
        <f t="shared" si="94"/>
        <v>15</v>
      </c>
      <c r="C42" s="40" t="str">
        <v>Aleksi Järveläinen</v>
      </c>
      <c r="D42" s="41" t="str">
        <f>+_xlfn.XLOOKUP($C42,$C$72:$C$105,D$72:D$105,"")</f>
        <v/>
      </c>
      <c r="E42" s="41" t="str">
        <f>+_xlfn.XLOOKUP($C42,$C$72:$C$105,E$72:E$105,"")</f>
        <v/>
      </c>
      <c r="F42" s="41" t="str">
        <f>+_xlfn.XLOOKUP($C42,$C$72:$C$105,F$72:F$105,"")</f>
        <v/>
      </c>
      <c r="G42" s="41" t="str">
        <f>+_xlfn.XLOOKUP($C42,$C$72:$C$105,G$72:G$105,"")</f>
        <v/>
      </c>
      <c r="H42" s="41" t="str">
        <f>+_xlfn.XLOOKUP($C42,$C$72:$C$105,H$72:H$105,"")</f>
        <v/>
      </c>
      <c r="I42" s="41" t="str">
        <f>+_xlfn.XLOOKUP($C42,$C$72:$C$105,I$72:I$105,"")</f>
        <v/>
      </c>
      <c r="J42" s="41" t="str">
        <f>+_xlfn.XLOOKUP($C42,$C$72:$C$105,J$72:J$105,"")</f>
        <v/>
      </c>
      <c r="K42" s="41" t="str">
        <f>+_xlfn.XLOOKUP($C42,$C$72:$C$105,K$72:K$105,"")</f>
        <v/>
      </c>
      <c r="L42" s="41" t="str">
        <f>+_xlfn.XLOOKUP($C42,$C$72:$C$105,L$72:L$105,"")</f>
        <v/>
      </c>
      <c r="M42" s="41" t="str">
        <f>+_xlfn.XLOOKUP($C42,$C$72:$C$105,M$72:M$105,"")</f>
        <v/>
      </c>
      <c r="N42" s="41" t="str">
        <f>+_xlfn.XLOOKUP($C42,$C$72:$C$105,N$72:N$105,"")</f>
        <v/>
      </c>
      <c r="O42" s="41" t="str">
        <f>+_xlfn.XLOOKUP($C42,$C$72:$C$105,O$72:O$105,"")</f>
        <v/>
      </c>
      <c r="P42" s="41" t="str">
        <f>+_xlfn.XLOOKUP($C42,$C$72:$C$105,P$72:P$105,"")</f>
        <v/>
      </c>
      <c r="Q42" s="41" t="str">
        <f>+_xlfn.XLOOKUP($C42,$C$72:$C$105,Q$72:Q$105,"")</f>
        <v/>
      </c>
      <c r="R42" s="41" t="str">
        <f>+_xlfn.XLOOKUP($C42,$C$72:$C$105,R$72:R$105,"")</f>
        <v/>
      </c>
      <c r="S42" s="41" t="str">
        <f>+_xlfn.XLOOKUP($C42,$C$72:$C$105,S$72:S$105,"")</f>
        <v/>
      </c>
      <c r="T42" s="41" t="str">
        <f>+_xlfn.XLOOKUP($C42,$C$72:$C$105,T$72:T$105,"")</f>
        <v/>
      </c>
      <c r="U42" s="41" t="str">
        <f>+_xlfn.XLOOKUP($C42,$C$72:$C$105,U$72:U$105,"")</f>
        <v/>
      </c>
      <c r="V42" s="41" t="str">
        <f>+_xlfn.XLOOKUP($C42,$C$72:$C$105,V$72:V$105,"")</f>
        <v/>
      </c>
      <c r="W42" s="41" t="str">
        <f>+_xlfn.XLOOKUP($C42,$C$72:$C$105,W$72:W$105,"")</f>
        <v/>
      </c>
      <c r="X42" s="41" t="str">
        <f>+_xlfn.XLOOKUP($C42,$C$72:$C$105,X$72:X$105,"")</f>
        <v/>
      </c>
      <c r="Y42" s="41" t="str">
        <f>+_xlfn.XLOOKUP($C42,$C$72:$C$105,Y$72:Y$105,"")</f>
        <v/>
      </c>
      <c r="Z42" s="41" t="str">
        <f>+_xlfn.XLOOKUP($C42,$C$72:$C$105,Z$72:Z$105,"")</f>
        <v/>
      </c>
      <c r="AA42" s="41" t="str">
        <f>+_xlfn.XLOOKUP($C42,$C$72:$C$105,AA$72:AA$105,"")</f>
        <v/>
      </c>
      <c r="AB42" s="41" t="str">
        <f>+_xlfn.XLOOKUP($C42,$C$72:$C$105,AB$72:AB$105,"")</f>
        <v/>
      </c>
      <c r="AC42" s="41" t="str">
        <f>+_xlfn.XLOOKUP($C42,$C$72:$C$105,AC$72:AC$105,"")</f>
        <v/>
      </c>
      <c r="AD42" s="41" t="str">
        <f>+_xlfn.XLOOKUP($C42,$C$72:$C$105,AD$72:AD$105,"")</f>
        <v/>
      </c>
      <c r="AE42" s="41" t="str">
        <f>+_xlfn.XLOOKUP($C42,$C$72:$C$105,AE$72:AE$105,"")</f>
        <v/>
      </c>
      <c r="AF42" s="41" t="str">
        <f>+_xlfn.XLOOKUP($C42,$C$72:$C$105,AF$72:AF$105,"")</f>
        <v/>
      </c>
      <c r="AG42" s="41" t="str">
        <f>+_xlfn.XLOOKUP($C42,$C$72:$C$105,AG$72:AG$105,"")</f>
        <v/>
      </c>
      <c r="AH42" s="41" t="str">
        <f>+_xlfn.XLOOKUP($C42,$C$72:$C$105,AH$72:AH$105,"")</f>
        <v/>
      </c>
      <c r="AI42" s="41" t="str">
        <f>+_xlfn.XLOOKUP($C42,$C$72:$C$105,AI$72:AI$105,"")</f>
        <v/>
      </c>
      <c r="AJ42" s="41" t="str">
        <f>+_xlfn.XLOOKUP($C42,$C$72:$C$105,AJ$72:AJ$105,"")</f>
        <v/>
      </c>
      <c r="AK42" s="41" t="str">
        <f>+_xlfn.XLOOKUP($C42,$C$72:$C$105,AK$72:AK$105,"")</f>
        <v/>
      </c>
      <c r="AL42" s="41" t="str">
        <f>+_xlfn.XLOOKUP($C42,$C$72:$C$105,AL$72:AL$105,"")</f>
        <v/>
      </c>
      <c r="AM42" s="41" t="str">
        <f>+_xlfn.XLOOKUP($C42,$C$72:$C$105,AM$72:AM$105,"")</f>
        <v/>
      </c>
      <c r="AN42" s="41" t="str">
        <f>+_xlfn.XLOOKUP($C42,$C$72:$C$105,AN$72:AN$105,"")</f>
        <v/>
      </c>
      <c r="AO42" s="41" t="str">
        <f>+_xlfn.XLOOKUP($C42,$C$72:$C$105,AO$72:AO$105,"")</f>
        <v/>
      </c>
      <c r="AP42" s="41" t="str">
        <f>+_xlfn.XLOOKUP($C42,$C$72:$C$105,AP$72:AP$105,"")</f>
        <v/>
      </c>
      <c r="AQ42" s="41" t="str">
        <f>+_xlfn.XLOOKUP($C42,$C$72:$C$105,AQ$72:AQ$105,"")</f>
        <v/>
      </c>
      <c r="AR42" s="41" t="str">
        <f>+_xlfn.XLOOKUP($C42,$C$72:$C$105,AR$72:AR$105,"")</f>
        <v/>
      </c>
      <c r="AS42" s="41" t="str">
        <f>+_xlfn.XLOOKUP($C42,$C$72:$C$105,AS$72:AS$105,"")</f>
        <v/>
      </c>
      <c r="AT42" s="41" t="str">
        <f>+_xlfn.XLOOKUP($C42,$C$72:$C$105,AT$72:AT$105,"")</f>
        <v/>
      </c>
      <c r="AU42" s="41" t="str">
        <f>+_xlfn.XLOOKUP($C42,$C$72:$C$105,AU$72:AU$105,"")</f>
        <v/>
      </c>
      <c r="AV42" s="41" t="str">
        <f>+_xlfn.XLOOKUP($C42,$C$72:$C$105,AV$72:AV$105,"")</f>
        <v/>
      </c>
      <c r="AW42" s="41" t="str">
        <f>+_xlfn.XLOOKUP($C42,$C$72:$C$105,AW$72:AW$105,"")</f>
        <v/>
      </c>
      <c r="AX42" s="41" t="str">
        <f>+_xlfn.XLOOKUP($C42,$C$72:$C$105,AX$72:AX$105,"")</f>
        <v/>
      </c>
      <c r="AY42" s="41" t="str">
        <f>+_xlfn.XLOOKUP($C42,$C$72:$C$105,AY$72:AY$105,"")</f>
        <v/>
      </c>
      <c r="AZ42" s="41" t="str">
        <f>+_xlfn.XLOOKUP($C42,$C$72:$C$105,AZ$72:AZ$105,"")</f>
        <v/>
      </c>
      <c r="BA42" s="41" t="str">
        <f>+_xlfn.XLOOKUP($C42,$C$72:$C$105,BA$72:BA$105,"")</f>
        <v/>
      </c>
      <c r="BB42" s="41" t="str">
        <f>+_xlfn.XLOOKUP($C42,$C$72:$C$105,BB$72:BB$105,"")</f>
        <v/>
      </c>
      <c r="BC42" s="41" t="str">
        <f>+_xlfn.XLOOKUP($C42,$C$72:$C$105,BC$72:BC$105,"")</f>
        <v/>
      </c>
      <c r="BD42" s="41" t="str">
        <f>+_xlfn.XLOOKUP($C42,$C$72:$C$105,BD$72:BD$105,"")</f>
        <v/>
      </c>
      <c r="BE42" s="41" t="str">
        <f>+_xlfn.XLOOKUP($C42,$C$72:$C$105,BE$72:BE$105,"")</f>
        <v/>
      </c>
      <c r="BF42" s="41" t="str">
        <f>+_xlfn.XLOOKUP($C42,$C$72:$C$105,BF$72:BF$105,"")</f>
        <v/>
      </c>
      <c r="BG42" s="41" t="str">
        <f>+_xlfn.XLOOKUP($C42,$C$72:$C$105,BG$72:BG$105,"")</f>
        <v/>
      </c>
      <c r="BH42" s="41" t="str">
        <f>+_xlfn.XLOOKUP($C42,$C$72:$C$105,BH$72:BH$105,"")</f>
        <v/>
      </c>
      <c r="BI42" s="41" t="str">
        <f>+_xlfn.XLOOKUP($C42,$C$72:$C$105,BI$72:BI$105,"")</f>
        <v/>
      </c>
      <c r="BJ42" s="41" t="str">
        <f>+_xlfn.XLOOKUP($C42,$C$72:$C$105,BJ$72:BJ$105,"")</f>
        <v/>
      </c>
      <c r="BK42" s="41" t="str">
        <f>+_xlfn.XLOOKUP($C42,$C$72:$C$105,BK$72:BK$105,"")</f>
        <v/>
      </c>
      <c r="BL42" s="41" t="str">
        <f>+_xlfn.XLOOKUP($C42,$C$72:$C$105,BL$72:BL$105,"")</f>
        <v/>
      </c>
      <c r="BM42" s="41">
        <f>+_xlfn.XLOOKUP($C42,$C$72:$C$105,BM$72:BM$105,"")</f>
        <v>-20</v>
      </c>
      <c r="BN42" s="41" t="str">
        <f>+_xlfn.XLOOKUP($C42,$C$72:$C$105,BN$72:BN$105,"")</f>
        <v/>
      </c>
      <c r="BO42" s="41" t="str">
        <f>+_xlfn.XLOOKUP($C42,$C$72:$C$105,BO$72:BO$105,"")</f>
        <v/>
      </c>
      <c r="BP42" s="41" t="str">
        <f>+_xlfn.XLOOKUP($C42,$C$72:$C$105,BP$72:BP$105,"")</f>
        <v/>
      </c>
      <c r="BQ42" s="41" t="str">
        <f>+_xlfn.XLOOKUP($C42,$C$72:$C$105,BQ$72:BQ$105,"")</f>
        <v/>
      </c>
      <c r="BR42" s="41" t="str">
        <f>+_xlfn.XLOOKUP($C42,$C$72:$C$105,BR$72:BR$105,"")</f>
        <v/>
      </c>
      <c r="BS42" s="41" t="str">
        <f>+_xlfn.XLOOKUP($C42,$C$72:$C$105,BS$72:BS$105,"")</f>
        <v/>
      </c>
      <c r="BT42" s="41" t="str">
        <f>+_xlfn.XLOOKUP($C42,$C$72:$C$105,BT$72:BT$105,"")</f>
        <v/>
      </c>
      <c r="BU42" s="41" t="str">
        <f>+_xlfn.XLOOKUP($C42,$C$72:$C$105,BU$72:BU$105,"")</f>
        <v/>
      </c>
      <c r="BV42" s="41" t="str">
        <f>+_xlfn.XLOOKUP($C42,$C$72:$C$105,BV$72:BV$105,"")</f>
        <v/>
      </c>
      <c r="BW42" s="41" t="str">
        <f>+_xlfn.XLOOKUP($C42,$C$72:$C$105,BW$72:BW$105,"")</f>
        <v/>
      </c>
      <c r="BX42" s="41" t="str">
        <f>+_xlfn.XLOOKUP($C42,$C$72:$C$105,BX$72:BX$105,"")</f>
        <v/>
      </c>
      <c r="BY42" s="41" t="str">
        <f>+_xlfn.XLOOKUP($C42,$C$72:$C$105,BY$72:BY$105,"")</f>
        <v/>
      </c>
      <c r="BZ42" s="41" t="str">
        <f>+_xlfn.XLOOKUP($C42,$C$72:$C$105,BZ$72:BZ$105,"")</f>
        <v/>
      </c>
      <c r="CA42" s="41" t="str">
        <f>+_xlfn.XLOOKUP($C42,$C$72:$C$105,CA$72:CA$105,"")</f>
        <v/>
      </c>
      <c r="CB42" s="41" t="str">
        <f>+_xlfn.XLOOKUP($C42,$C$72:$C$105,CB$72:CB$105,"")</f>
        <v/>
      </c>
      <c r="CC42" s="41" t="str">
        <f>+_xlfn.XLOOKUP($C42,$C$72:$C$105,CC$72:CC$105,"")</f>
        <v/>
      </c>
      <c r="CD42" s="41" t="str">
        <f>+_xlfn.XLOOKUP($C42,$C$72:$C$105,CD$72:CD$105,"")</f>
        <v/>
      </c>
      <c r="CE42" s="41" t="str">
        <f>+_xlfn.XLOOKUP($C42,$C$72:$C$105,CE$72:CE$105,"")</f>
        <v/>
      </c>
      <c r="CF42" s="41" t="str">
        <f>+_xlfn.XLOOKUP($C42,$C$72:$C$105,CF$72:CF$105,"")</f>
        <v/>
      </c>
      <c r="CG42" s="41" t="str">
        <f>+_xlfn.XLOOKUP($C42,$C$72:$C$105,CG$72:CG$105,"")</f>
        <v/>
      </c>
      <c r="CH42" s="41" t="str">
        <f>+_xlfn.XLOOKUP($C42,$C$72:$C$105,CH$72:CH$105,"")</f>
        <v/>
      </c>
      <c r="CI42" s="41" t="str">
        <f>+_xlfn.XLOOKUP($C42,$C$72:$C$105,CI$72:CI$105,"")</f>
        <v/>
      </c>
      <c r="CJ42" s="41" t="str">
        <f>+_xlfn.XLOOKUP($C42,$C$72:$C$105,CJ$72:CJ$105,"")</f>
        <v/>
      </c>
      <c r="CK42" s="41" t="str">
        <f>+_xlfn.XLOOKUP($C42,$C$72:$C$105,CK$72:CK$105,"")</f>
        <v/>
      </c>
      <c r="CL42" s="41" t="str">
        <f>+_xlfn.XLOOKUP($C42,$C$72:$C$105,CL$72:CL$105,"")</f>
        <v/>
      </c>
      <c r="CM42" s="41" t="str">
        <f>+_xlfn.XLOOKUP($C42,$C$72:$C$105,CM$72:CM$105,"")</f>
        <v/>
      </c>
      <c r="CN42" s="41" t="str">
        <f>+_xlfn.XLOOKUP($C42,$C$72:$C$105,CN$72:CN$105,"")</f>
        <v/>
      </c>
      <c r="CO42" s="42"/>
      <c r="CP42" s="29">
        <f>+_xlfn.XLOOKUP($C42,$C$72:$C$105,CP$72:CP$105,"")</f>
        <v>-20</v>
      </c>
      <c r="CQ42" s="41"/>
      <c r="CR42" s="30">
        <f>+_xlfn.XLOOKUP($C42,$C$72:$C$105,CR$72:CR$105,"")</f>
        <v>-1</v>
      </c>
      <c r="CS42" s="31">
        <f>+_xlfn.XLOOKUP($C42,$C$72:$C$105,CS$72:CS$105,"")</f>
        <v>1</v>
      </c>
      <c r="CT42" s="31">
        <f>+_xlfn.XLOOKUP($C42,$C$72:$C$105,CT$72:CT$105,"")</f>
        <v>0</v>
      </c>
      <c r="CU42" s="30">
        <f>+_xlfn.XLOOKUP($C42,$C$72:$C$105,CU$72:CU$105,"")</f>
        <v>0</v>
      </c>
      <c r="CV42" s="30">
        <f>+_xlfn.XLOOKUP($C42,$C$72:$C$105,CV$72:CV$105,"")</f>
        <v>0</v>
      </c>
      <c r="CW42" s="30">
        <f>+_xlfn.XLOOKUP($C42,$C$72:$C$105,CW$72:CW$105,"")</f>
        <v>0.14285714285714285</v>
      </c>
      <c r="CX42" s="32">
        <f>+_xlfn.XLOOKUP($C42,$C$72:$C$105,CX$72:CX$105,"")</f>
        <v>-20</v>
      </c>
    </row>
    <row r="43" spans="2:102" ht="12.75" customHeight="1" x14ac:dyDescent="0.2">
      <c r="B43" s="83">
        <f t="shared" si="94"/>
        <v>16</v>
      </c>
      <c r="C43" s="33" t="str">
        <v>Sami Hätälä</v>
      </c>
      <c r="D43" s="34" t="str">
        <f>+_xlfn.XLOOKUP($C43,$C$72:$C$105,D$72:D$105,"")</f>
        <v/>
      </c>
      <c r="E43" s="34" t="str">
        <f>+_xlfn.XLOOKUP($C43,$C$72:$C$105,E$72:E$105,"")</f>
        <v/>
      </c>
      <c r="F43" s="34" t="str">
        <f>+_xlfn.XLOOKUP($C43,$C$72:$C$105,F$72:F$105,"")</f>
        <v/>
      </c>
      <c r="G43" s="34" t="str">
        <f>+_xlfn.XLOOKUP($C43,$C$72:$C$105,G$72:G$105,"")</f>
        <v/>
      </c>
      <c r="H43" s="34" t="str">
        <f>+_xlfn.XLOOKUP($C43,$C$72:$C$105,H$72:H$105,"")</f>
        <v/>
      </c>
      <c r="I43" s="34" t="str">
        <f>+_xlfn.XLOOKUP($C43,$C$72:$C$105,I$72:I$105,"")</f>
        <v/>
      </c>
      <c r="J43" s="34" t="str">
        <f>+_xlfn.XLOOKUP($C43,$C$72:$C$105,J$72:J$105,"")</f>
        <v/>
      </c>
      <c r="K43" s="34" t="str">
        <f>+_xlfn.XLOOKUP($C43,$C$72:$C$105,K$72:K$105,"")</f>
        <v/>
      </c>
      <c r="L43" s="34" t="str">
        <f>+_xlfn.XLOOKUP($C43,$C$72:$C$105,L$72:L$105,"")</f>
        <v/>
      </c>
      <c r="M43" s="34" t="str">
        <f>+_xlfn.XLOOKUP($C43,$C$72:$C$105,M$72:M$105,"")</f>
        <v/>
      </c>
      <c r="N43" s="34" t="str">
        <f>+_xlfn.XLOOKUP($C43,$C$72:$C$105,N$72:N$105,"")</f>
        <v/>
      </c>
      <c r="O43" s="34" t="str">
        <f>+_xlfn.XLOOKUP($C43,$C$72:$C$105,O$72:O$105,"")</f>
        <v/>
      </c>
      <c r="P43" s="34" t="str">
        <f>+_xlfn.XLOOKUP($C43,$C$72:$C$105,P$72:P$105,"")</f>
        <v/>
      </c>
      <c r="Q43" s="34" t="str">
        <f>+_xlfn.XLOOKUP($C43,$C$72:$C$105,Q$72:Q$105,"")</f>
        <v/>
      </c>
      <c r="R43" s="34" t="str">
        <f>+_xlfn.XLOOKUP($C43,$C$72:$C$105,R$72:R$105,"")</f>
        <v/>
      </c>
      <c r="S43" s="34" t="str">
        <f>+_xlfn.XLOOKUP($C43,$C$72:$C$105,S$72:S$105,"")</f>
        <v/>
      </c>
      <c r="T43" s="34" t="str">
        <f>+_xlfn.XLOOKUP($C43,$C$72:$C$105,T$72:T$105,"")</f>
        <v/>
      </c>
      <c r="U43" s="34" t="str">
        <f>+_xlfn.XLOOKUP($C43,$C$72:$C$105,U$72:U$105,"")</f>
        <v/>
      </c>
      <c r="V43" s="34" t="str">
        <f>+_xlfn.XLOOKUP($C43,$C$72:$C$105,V$72:V$105,"")</f>
        <v/>
      </c>
      <c r="W43" s="34" t="str">
        <f>+_xlfn.XLOOKUP($C43,$C$72:$C$105,W$72:W$105,"")</f>
        <v/>
      </c>
      <c r="X43" s="34" t="str">
        <f>+_xlfn.XLOOKUP($C43,$C$72:$C$105,X$72:X$105,"")</f>
        <v/>
      </c>
      <c r="Y43" s="34" t="str">
        <f>+_xlfn.XLOOKUP($C43,$C$72:$C$105,Y$72:Y$105,"")</f>
        <v/>
      </c>
      <c r="Z43" s="34" t="str">
        <f>+_xlfn.XLOOKUP($C43,$C$72:$C$105,Z$72:Z$105,"")</f>
        <v/>
      </c>
      <c r="AA43" s="34" t="str">
        <f>+_xlfn.XLOOKUP($C43,$C$72:$C$105,AA$72:AA$105,"")</f>
        <v/>
      </c>
      <c r="AB43" s="34" t="str">
        <f>+_xlfn.XLOOKUP($C43,$C$72:$C$105,AB$72:AB$105,"")</f>
        <v/>
      </c>
      <c r="AC43" s="34" t="str">
        <f>+_xlfn.XLOOKUP($C43,$C$72:$C$105,AC$72:AC$105,"")</f>
        <v/>
      </c>
      <c r="AD43" s="34" t="str">
        <f>+_xlfn.XLOOKUP($C43,$C$72:$C$105,AD$72:AD$105,"")</f>
        <v/>
      </c>
      <c r="AE43" s="34" t="str">
        <f>+_xlfn.XLOOKUP($C43,$C$72:$C$105,AE$72:AE$105,"")</f>
        <v/>
      </c>
      <c r="AF43" s="34" t="str">
        <f>+_xlfn.XLOOKUP($C43,$C$72:$C$105,AF$72:AF$105,"")</f>
        <v/>
      </c>
      <c r="AG43" s="34" t="str">
        <f>+_xlfn.XLOOKUP($C43,$C$72:$C$105,AG$72:AG$105,"")</f>
        <v/>
      </c>
      <c r="AH43" s="34" t="str">
        <f>+_xlfn.XLOOKUP($C43,$C$72:$C$105,AH$72:AH$105,"")</f>
        <v/>
      </c>
      <c r="AI43" s="34" t="str">
        <f>+_xlfn.XLOOKUP($C43,$C$72:$C$105,AI$72:AI$105,"")</f>
        <v/>
      </c>
      <c r="AJ43" s="34" t="str">
        <f>+_xlfn.XLOOKUP($C43,$C$72:$C$105,AJ$72:AJ$105,"")</f>
        <v/>
      </c>
      <c r="AK43" s="34" t="str">
        <f>+_xlfn.XLOOKUP($C43,$C$72:$C$105,AK$72:AK$105,"")</f>
        <v/>
      </c>
      <c r="AL43" s="34" t="str">
        <f>+_xlfn.XLOOKUP($C43,$C$72:$C$105,AL$72:AL$105,"")</f>
        <v/>
      </c>
      <c r="AM43" s="34" t="str">
        <f>+_xlfn.XLOOKUP($C43,$C$72:$C$105,AM$72:AM$105,"")</f>
        <v/>
      </c>
      <c r="AN43" s="34" t="str">
        <f>+_xlfn.XLOOKUP($C43,$C$72:$C$105,AN$72:AN$105,"")</f>
        <v/>
      </c>
      <c r="AO43" s="34" t="str">
        <f>+_xlfn.XLOOKUP($C43,$C$72:$C$105,AO$72:AO$105,"")</f>
        <v/>
      </c>
      <c r="AP43" s="34" t="str">
        <f>+_xlfn.XLOOKUP($C43,$C$72:$C$105,AP$72:AP$105,"")</f>
        <v/>
      </c>
      <c r="AQ43" s="34" t="str">
        <f>+_xlfn.XLOOKUP($C43,$C$72:$C$105,AQ$72:AQ$105,"")</f>
        <v/>
      </c>
      <c r="AR43" s="34" t="str">
        <f>+_xlfn.XLOOKUP($C43,$C$72:$C$105,AR$72:AR$105,"")</f>
        <v/>
      </c>
      <c r="AS43" s="34" t="str">
        <f>+_xlfn.XLOOKUP($C43,$C$72:$C$105,AS$72:AS$105,"")</f>
        <v/>
      </c>
      <c r="AT43" s="34" t="str">
        <f>+_xlfn.XLOOKUP($C43,$C$72:$C$105,AT$72:AT$105,"")</f>
        <v/>
      </c>
      <c r="AU43" s="34" t="str">
        <f>+_xlfn.XLOOKUP($C43,$C$72:$C$105,AU$72:AU$105,"")</f>
        <v/>
      </c>
      <c r="AV43" s="34" t="str">
        <f>+_xlfn.XLOOKUP($C43,$C$72:$C$105,AV$72:AV$105,"")</f>
        <v/>
      </c>
      <c r="AW43" s="34" t="str">
        <f>+_xlfn.XLOOKUP($C43,$C$72:$C$105,AW$72:AW$105,"")</f>
        <v/>
      </c>
      <c r="AX43" s="34" t="str">
        <f>+_xlfn.XLOOKUP($C43,$C$72:$C$105,AX$72:AX$105,"")</f>
        <v/>
      </c>
      <c r="AY43" s="34" t="str">
        <f>+_xlfn.XLOOKUP($C43,$C$72:$C$105,AY$72:AY$105,"")</f>
        <v/>
      </c>
      <c r="AZ43" s="34" t="str">
        <f>+_xlfn.XLOOKUP($C43,$C$72:$C$105,AZ$72:AZ$105,"")</f>
        <v/>
      </c>
      <c r="BA43" s="34" t="str">
        <f>+_xlfn.XLOOKUP($C43,$C$72:$C$105,BA$72:BA$105,"")</f>
        <v/>
      </c>
      <c r="BB43" s="34" t="str">
        <f>+_xlfn.XLOOKUP($C43,$C$72:$C$105,BB$72:BB$105,"")</f>
        <v/>
      </c>
      <c r="BC43" s="34" t="str">
        <f>+_xlfn.XLOOKUP($C43,$C$72:$C$105,BC$72:BC$105,"")</f>
        <v/>
      </c>
      <c r="BD43" s="34" t="str">
        <f>+_xlfn.XLOOKUP($C43,$C$72:$C$105,BD$72:BD$105,"")</f>
        <v/>
      </c>
      <c r="BE43" s="34" t="str">
        <f>+_xlfn.XLOOKUP($C43,$C$72:$C$105,BE$72:BE$105,"")</f>
        <v/>
      </c>
      <c r="BF43" s="34" t="str">
        <f>+_xlfn.XLOOKUP($C43,$C$72:$C$105,BF$72:BF$105,"")</f>
        <v/>
      </c>
      <c r="BG43" s="34" t="str">
        <f>+_xlfn.XLOOKUP($C43,$C$72:$C$105,BG$72:BG$105,"")</f>
        <v/>
      </c>
      <c r="BH43" s="34" t="str">
        <f>+_xlfn.XLOOKUP($C43,$C$72:$C$105,BH$72:BH$105,"")</f>
        <v/>
      </c>
      <c r="BI43" s="34" t="str">
        <f>+_xlfn.XLOOKUP($C43,$C$72:$C$105,BI$72:BI$105,"")</f>
        <v/>
      </c>
      <c r="BJ43" s="34" t="str">
        <f>+_xlfn.XLOOKUP($C43,$C$72:$C$105,BJ$72:BJ$105,"")</f>
        <v/>
      </c>
      <c r="BK43" s="34" t="str">
        <f>+_xlfn.XLOOKUP($C43,$C$72:$C$105,BK$72:BK$105,"")</f>
        <v/>
      </c>
      <c r="BL43" s="34" t="str">
        <f>+_xlfn.XLOOKUP($C43,$C$72:$C$105,BL$72:BL$105,"")</f>
        <v/>
      </c>
      <c r="BM43" s="34" t="str">
        <f>+_xlfn.XLOOKUP($C43,$C$72:$C$105,BM$72:BM$105,"")</f>
        <v/>
      </c>
      <c r="BN43" s="34">
        <f>+_xlfn.XLOOKUP($C43,$C$72:$C$105,BN$72:BN$105,"")</f>
        <v>-20</v>
      </c>
      <c r="BO43" s="34" t="str">
        <f>+_xlfn.XLOOKUP($C43,$C$72:$C$105,BO$72:BO$105,"")</f>
        <v/>
      </c>
      <c r="BP43" s="34" t="str">
        <f>+_xlfn.XLOOKUP($C43,$C$72:$C$105,BP$72:BP$105,"")</f>
        <v/>
      </c>
      <c r="BQ43" s="34" t="str">
        <f>+_xlfn.XLOOKUP($C43,$C$72:$C$105,BQ$72:BQ$105,"")</f>
        <v/>
      </c>
      <c r="BR43" s="34" t="str">
        <f>+_xlfn.XLOOKUP($C43,$C$72:$C$105,BR$72:BR$105,"")</f>
        <v/>
      </c>
      <c r="BS43" s="34" t="str">
        <f>+_xlfn.XLOOKUP($C43,$C$72:$C$105,BS$72:BS$105,"")</f>
        <v/>
      </c>
      <c r="BT43" s="34" t="str">
        <f>+_xlfn.XLOOKUP($C43,$C$72:$C$105,BT$72:BT$105,"")</f>
        <v/>
      </c>
      <c r="BU43" s="34" t="str">
        <f>+_xlfn.XLOOKUP($C43,$C$72:$C$105,BU$72:BU$105,"")</f>
        <v/>
      </c>
      <c r="BV43" s="34" t="str">
        <f>+_xlfn.XLOOKUP($C43,$C$72:$C$105,BV$72:BV$105,"")</f>
        <v/>
      </c>
      <c r="BW43" s="34" t="str">
        <f>+_xlfn.XLOOKUP($C43,$C$72:$C$105,BW$72:BW$105,"")</f>
        <v/>
      </c>
      <c r="BX43" s="34" t="str">
        <f>+_xlfn.XLOOKUP($C43,$C$72:$C$105,BX$72:BX$105,"")</f>
        <v/>
      </c>
      <c r="BY43" s="34" t="str">
        <f>+_xlfn.XLOOKUP($C43,$C$72:$C$105,BY$72:BY$105,"")</f>
        <v/>
      </c>
      <c r="BZ43" s="34" t="str">
        <f>+_xlfn.XLOOKUP($C43,$C$72:$C$105,BZ$72:BZ$105,"")</f>
        <v/>
      </c>
      <c r="CA43" s="34" t="str">
        <f>+_xlfn.XLOOKUP($C43,$C$72:$C$105,CA$72:CA$105,"")</f>
        <v/>
      </c>
      <c r="CB43" s="34" t="str">
        <f>+_xlfn.XLOOKUP($C43,$C$72:$C$105,CB$72:CB$105,"")</f>
        <v/>
      </c>
      <c r="CC43" s="34" t="str">
        <f>+_xlfn.XLOOKUP($C43,$C$72:$C$105,CC$72:CC$105,"")</f>
        <v/>
      </c>
      <c r="CD43" s="34" t="str">
        <f>+_xlfn.XLOOKUP($C43,$C$72:$C$105,CD$72:CD$105,"")</f>
        <v/>
      </c>
      <c r="CE43" s="34" t="str">
        <f>+_xlfn.XLOOKUP($C43,$C$72:$C$105,CE$72:CE$105,"")</f>
        <v/>
      </c>
      <c r="CF43" s="34" t="str">
        <f>+_xlfn.XLOOKUP($C43,$C$72:$C$105,CF$72:CF$105,"")</f>
        <v/>
      </c>
      <c r="CG43" s="34" t="str">
        <f>+_xlfn.XLOOKUP($C43,$C$72:$C$105,CG$72:CG$105,"")</f>
        <v/>
      </c>
      <c r="CH43" s="34" t="str">
        <f>+_xlfn.XLOOKUP($C43,$C$72:$C$105,CH$72:CH$105,"")</f>
        <v/>
      </c>
      <c r="CI43" s="34" t="str">
        <f>+_xlfn.XLOOKUP($C43,$C$72:$C$105,CI$72:CI$105,"")</f>
        <v/>
      </c>
      <c r="CJ43" s="34" t="str">
        <f>+_xlfn.XLOOKUP($C43,$C$72:$C$105,CJ$72:CJ$105,"")</f>
        <v/>
      </c>
      <c r="CK43" s="34" t="str">
        <f>+_xlfn.XLOOKUP($C43,$C$72:$C$105,CK$72:CK$105,"")</f>
        <v/>
      </c>
      <c r="CL43" s="34" t="str">
        <f>+_xlfn.XLOOKUP($C43,$C$72:$C$105,CL$72:CL$105,"")</f>
        <v/>
      </c>
      <c r="CM43" s="34" t="str">
        <f>+_xlfn.XLOOKUP($C43,$C$72:$C$105,CM$72:CM$105,"")</f>
        <v/>
      </c>
      <c r="CN43" s="34" t="str">
        <f>+_xlfn.XLOOKUP($C43,$C$72:$C$105,CN$72:CN$105,"")</f>
        <v/>
      </c>
      <c r="CO43" s="35"/>
      <c r="CP43" s="36">
        <f>+_xlfn.XLOOKUP($C43,$C$72:$C$105,CP$72:CP$105,"")</f>
        <v>-20</v>
      </c>
      <c r="CQ43" s="34"/>
      <c r="CR43" s="37">
        <f>+_xlfn.XLOOKUP($C43,$C$72:$C$105,CR$72:CR$105,"")</f>
        <v>-1</v>
      </c>
      <c r="CS43" s="38">
        <f>+_xlfn.XLOOKUP($C43,$C$72:$C$105,CS$72:CS$105,"")</f>
        <v>1</v>
      </c>
      <c r="CT43" s="38">
        <f>+_xlfn.XLOOKUP($C43,$C$72:$C$105,CT$72:CT$105,"")</f>
        <v>0</v>
      </c>
      <c r="CU43" s="37">
        <f>+_xlfn.XLOOKUP($C43,$C$72:$C$105,CU$72:CU$105,"")</f>
        <v>0</v>
      </c>
      <c r="CV43" s="37">
        <f>+_xlfn.XLOOKUP($C43,$C$72:$C$105,CV$72:CV$105,"")</f>
        <v>0</v>
      </c>
      <c r="CW43" s="37">
        <f>+_xlfn.XLOOKUP($C43,$C$72:$C$105,CW$72:CW$105,"")</f>
        <v>0.2</v>
      </c>
      <c r="CX43" s="39">
        <f>+_xlfn.XLOOKUP($C43,$C$72:$C$105,CX$72:CX$105,"")</f>
        <v>-20</v>
      </c>
    </row>
    <row r="44" spans="2:102" ht="12.75" customHeight="1" x14ac:dyDescent="0.2">
      <c r="B44" s="84">
        <f t="shared" si="94"/>
        <v>17</v>
      </c>
      <c r="C44" s="40" t="str">
        <v>Tuomas Haapalehto</v>
      </c>
      <c r="D44" s="41" t="str">
        <f>+_xlfn.XLOOKUP($C44,$C$72:$C$105,D$72:D$105,"")</f>
        <v/>
      </c>
      <c r="E44" s="41" t="str">
        <f>+_xlfn.XLOOKUP($C44,$C$72:$C$105,E$72:E$105,"")</f>
        <v/>
      </c>
      <c r="F44" s="41" t="str">
        <f>+_xlfn.XLOOKUP($C44,$C$72:$C$105,F$72:F$105,"")</f>
        <v/>
      </c>
      <c r="G44" s="41" t="str">
        <f>+_xlfn.XLOOKUP($C44,$C$72:$C$105,G$72:G$105,"")</f>
        <v/>
      </c>
      <c r="H44" s="41" t="str">
        <f>+_xlfn.XLOOKUP($C44,$C$72:$C$105,H$72:H$105,"")</f>
        <v/>
      </c>
      <c r="I44" s="41" t="str">
        <f>+_xlfn.XLOOKUP($C44,$C$72:$C$105,I$72:I$105,"")</f>
        <v/>
      </c>
      <c r="J44" s="41" t="str">
        <f>+_xlfn.XLOOKUP($C44,$C$72:$C$105,J$72:J$105,"")</f>
        <v/>
      </c>
      <c r="K44" s="41" t="str">
        <f>+_xlfn.XLOOKUP($C44,$C$72:$C$105,K$72:K$105,"")</f>
        <v/>
      </c>
      <c r="L44" s="41" t="str">
        <f>+_xlfn.XLOOKUP($C44,$C$72:$C$105,L$72:L$105,"")</f>
        <v/>
      </c>
      <c r="M44" s="41" t="str">
        <f>+_xlfn.XLOOKUP($C44,$C$72:$C$105,M$72:M$105,"")</f>
        <v/>
      </c>
      <c r="N44" s="41" t="str">
        <f>+_xlfn.XLOOKUP($C44,$C$72:$C$105,N$72:N$105,"")</f>
        <v/>
      </c>
      <c r="O44" s="41" t="str">
        <f>+_xlfn.XLOOKUP($C44,$C$72:$C$105,O$72:O$105,"")</f>
        <v/>
      </c>
      <c r="P44" s="41" t="str">
        <f>+_xlfn.XLOOKUP($C44,$C$72:$C$105,P$72:P$105,"")</f>
        <v/>
      </c>
      <c r="Q44" s="41" t="str">
        <f>+_xlfn.XLOOKUP($C44,$C$72:$C$105,Q$72:Q$105,"")</f>
        <v/>
      </c>
      <c r="R44" s="41" t="str">
        <f>+_xlfn.XLOOKUP($C44,$C$72:$C$105,R$72:R$105,"")</f>
        <v/>
      </c>
      <c r="S44" s="41" t="str">
        <f>+_xlfn.XLOOKUP($C44,$C$72:$C$105,S$72:S$105,"")</f>
        <v/>
      </c>
      <c r="T44" s="41" t="str">
        <f>+_xlfn.XLOOKUP($C44,$C$72:$C$105,T$72:T$105,"")</f>
        <v/>
      </c>
      <c r="U44" s="41" t="str">
        <f>+_xlfn.XLOOKUP($C44,$C$72:$C$105,U$72:U$105,"")</f>
        <v/>
      </c>
      <c r="V44" s="41" t="str">
        <f>+_xlfn.XLOOKUP($C44,$C$72:$C$105,V$72:V$105,"")</f>
        <v/>
      </c>
      <c r="W44" s="41" t="str">
        <f>+_xlfn.XLOOKUP($C44,$C$72:$C$105,W$72:W$105,"")</f>
        <v/>
      </c>
      <c r="X44" s="41" t="str">
        <f>+_xlfn.XLOOKUP($C44,$C$72:$C$105,X$72:X$105,"")</f>
        <v/>
      </c>
      <c r="Y44" s="41" t="str">
        <f>+_xlfn.XLOOKUP($C44,$C$72:$C$105,Y$72:Y$105,"")</f>
        <v/>
      </c>
      <c r="Z44" s="41" t="str">
        <f>+_xlfn.XLOOKUP($C44,$C$72:$C$105,Z$72:Z$105,"")</f>
        <v/>
      </c>
      <c r="AA44" s="41" t="str">
        <f>+_xlfn.XLOOKUP($C44,$C$72:$C$105,AA$72:AA$105,"")</f>
        <v/>
      </c>
      <c r="AB44" s="41" t="str">
        <f>+_xlfn.XLOOKUP($C44,$C$72:$C$105,AB$72:AB$105,"")</f>
        <v/>
      </c>
      <c r="AC44" s="41" t="str">
        <f>+_xlfn.XLOOKUP($C44,$C$72:$C$105,AC$72:AC$105,"")</f>
        <v/>
      </c>
      <c r="AD44" s="41" t="str">
        <f>+_xlfn.XLOOKUP($C44,$C$72:$C$105,AD$72:AD$105,"")</f>
        <v/>
      </c>
      <c r="AE44" s="41" t="str">
        <f>+_xlfn.XLOOKUP($C44,$C$72:$C$105,AE$72:AE$105,"")</f>
        <v/>
      </c>
      <c r="AF44" s="41" t="str">
        <f>+_xlfn.XLOOKUP($C44,$C$72:$C$105,AF$72:AF$105,"")</f>
        <v/>
      </c>
      <c r="AG44" s="41" t="str">
        <f>+_xlfn.XLOOKUP($C44,$C$72:$C$105,AG$72:AG$105,"")</f>
        <v/>
      </c>
      <c r="AH44" s="41" t="str">
        <f>+_xlfn.XLOOKUP($C44,$C$72:$C$105,AH$72:AH$105,"")</f>
        <v/>
      </c>
      <c r="AI44" s="41" t="str">
        <f>+_xlfn.XLOOKUP($C44,$C$72:$C$105,AI$72:AI$105,"")</f>
        <v/>
      </c>
      <c r="AJ44" s="41" t="str">
        <f>+_xlfn.XLOOKUP($C44,$C$72:$C$105,AJ$72:AJ$105,"")</f>
        <v/>
      </c>
      <c r="AK44" s="41" t="str">
        <f>+_xlfn.XLOOKUP($C44,$C$72:$C$105,AK$72:AK$105,"")</f>
        <v/>
      </c>
      <c r="AL44" s="41" t="str">
        <f>+_xlfn.XLOOKUP($C44,$C$72:$C$105,AL$72:AL$105,"")</f>
        <v/>
      </c>
      <c r="AM44" s="41" t="str">
        <f>+_xlfn.XLOOKUP($C44,$C$72:$C$105,AM$72:AM$105,"")</f>
        <v/>
      </c>
      <c r="AN44" s="41" t="str">
        <f>+_xlfn.XLOOKUP($C44,$C$72:$C$105,AN$72:AN$105,"")</f>
        <v/>
      </c>
      <c r="AO44" s="41" t="str">
        <f>+_xlfn.XLOOKUP($C44,$C$72:$C$105,AO$72:AO$105,"")</f>
        <v/>
      </c>
      <c r="AP44" s="41" t="str">
        <f>+_xlfn.XLOOKUP($C44,$C$72:$C$105,AP$72:AP$105,"")</f>
        <v/>
      </c>
      <c r="AQ44" s="41" t="str">
        <f>+_xlfn.XLOOKUP($C44,$C$72:$C$105,AQ$72:AQ$105,"")</f>
        <v/>
      </c>
      <c r="AR44" s="41" t="str">
        <f>+_xlfn.XLOOKUP($C44,$C$72:$C$105,AR$72:AR$105,"")</f>
        <v/>
      </c>
      <c r="AS44" s="41" t="str">
        <f>+_xlfn.XLOOKUP($C44,$C$72:$C$105,AS$72:AS$105,"")</f>
        <v/>
      </c>
      <c r="AT44" s="41" t="str">
        <f>+_xlfn.XLOOKUP($C44,$C$72:$C$105,AT$72:AT$105,"")</f>
        <v/>
      </c>
      <c r="AU44" s="41" t="str">
        <f>+_xlfn.XLOOKUP($C44,$C$72:$C$105,AU$72:AU$105,"")</f>
        <v/>
      </c>
      <c r="AV44" s="41" t="str">
        <f>+_xlfn.XLOOKUP($C44,$C$72:$C$105,AV$72:AV$105,"")</f>
        <v/>
      </c>
      <c r="AW44" s="41" t="str">
        <f>+_xlfn.XLOOKUP($C44,$C$72:$C$105,AW$72:AW$105,"")</f>
        <v/>
      </c>
      <c r="AX44" s="41" t="str">
        <f>+_xlfn.XLOOKUP($C44,$C$72:$C$105,AX$72:AX$105,"")</f>
        <v/>
      </c>
      <c r="AY44" s="41" t="str">
        <f>+_xlfn.XLOOKUP($C44,$C$72:$C$105,AY$72:AY$105,"")</f>
        <v/>
      </c>
      <c r="AZ44" s="41" t="str">
        <f>+_xlfn.XLOOKUP($C44,$C$72:$C$105,AZ$72:AZ$105,"")</f>
        <v/>
      </c>
      <c r="BA44" s="41" t="str">
        <f>+_xlfn.XLOOKUP($C44,$C$72:$C$105,BA$72:BA$105,"")</f>
        <v/>
      </c>
      <c r="BB44" s="41" t="str">
        <f>+_xlfn.XLOOKUP($C44,$C$72:$C$105,BB$72:BB$105,"")</f>
        <v/>
      </c>
      <c r="BC44" s="41" t="str">
        <f>+_xlfn.XLOOKUP($C44,$C$72:$C$105,BC$72:BC$105,"")</f>
        <v/>
      </c>
      <c r="BD44" s="41" t="str">
        <f>+_xlfn.XLOOKUP($C44,$C$72:$C$105,BD$72:BD$105,"")</f>
        <v/>
      </c>
      <c r="BE44" s="41" t="str">
        <f>+_xlfn.XLOOKUP($C44,$C$72:$C$105,BE$72:BE$105,"")</f>
        <v/>
      </c>
      <c r="BF44" s="41" t="str">
        <f>+_xlfn.XLOOKUP($C44,$C$72:$C$105,BF$72:BF$105,"")</f>
        <v/>
      </c>
      <c r="BG44" s="41" t="str">
        <f>+_xlfn.XLOOKUP($C44,$C$72:$C$105,BG$72:BG$105,"")</f>
        <v/>
      </c>
      <c r="BH44" s="41" t="str">
        <f>+_xlfn.XLOOKUP($C44,$C$72:$C$105,BH$72:BH$105,"")</f>
        <v/>
      </c>
      <c r="BI44" s="41" t="str">
        <f>+_xlfn.XLOOKUP($C44,$C$72:$C$105,BI$72:BI$105,"")</f>
        <v/>
      </c>
      <c r="BJ44" s="41" t="str">
        <f>+_xlfn.XLOOKUP($C44,$C$72:$C$105,BJ$72:BJ$105,"")</f>
        <v/>
      </c>
      <c r="BK44" s="41" t="str">
        <f>+_xlfn.XLOOKUP($C44,$C$72:$C$105,BK$72:BK$105,"")</f>
        <v/>
      </c>
      <c r="BL44" s="41" t="str">
        <f>+_xlfn.XLOOKUP($C44,$C$72:$C$105,BL$72:BL$105,"")</f>
        <v/>
      </c>
      <c r="BM44" s="41" t="str">
        <f>+_xlfn.XLOOKUP($C44,$C$72:$C$105,BM$72:BM$105,"")</f>
        <v/>
      </c>
      <c r="BN44" s="41" t="str">
        <f>+_xlfn.XLOOKUP($C44,$C$72:$C$105,BN$72:BN$105,"")</f>
        <v/>
      </c>
      <c r="BO44" s="41" t="str">
        <f>+_xlfn.XLOOKUP($C44,$C$72:$C$105,BO$72:BO$105,"")</f>
        <v/>
      </c>
      <c r="BP44" s="41" t="str">
        <f>+_xlfn.XLOOKUP($C44,$C$72:$C$105,BP$72:BP$105,"")</f>
        <v/>
      </c>
      <c r="BQ44" s="41" t="str">
        <f>+_xlfn.XLOOKUP($C44,$C$72:$C$105,BQ$72:BQ$105,"")</f>
        <v/>
      </c>
      <c r="BR44" s="41" t="str">
        <f>+_xlfn.XLOOKUP($C44,$C$72:$C$105,BR$72:BR$105,"")</f>
        <v/>
      </c>
      <c r="BS44" s="41" t="str">
        <f>+_xlfn.XLOOKUP($C44,$C$72:$C$105,BS$72:BS$105,"")</f>
        <v/>
      </c>
      <c r="BT44" s="41" t="str">
        <f>+_xlfn.XLOOKUP($C44,$C$72:$C$105,BT$72:BT$105,"")</f>
        <v/>
      </c>
      <c r="BU44" s="41" t="str">
        <f>+_xlfn.XLOOKUP($C44,$C$72:$C$105,BU$72:BU$105,"")</f>
        <v/>
      </c>
      <c r="BV44" s="41" t="str">
        <f>+_xlfn.XLOOKUP($C44,$C$72:$C$105,BV$72:BV$105,"")</f>
        <v/>
      </c>
      <c r="BW44" s="41" t="str">
        <f>+_xlfn.XLOOKUP($C44,$C$72:$C$105,BW$72:BW$105,"")</f>
        <v/>
      </c>
      <c r="BX44" s="41" t="str">
        <f>+_xlfn.XLOOKUP($C44,$C$72:$C$105,BX$72:BX$105,"")</f>
        <v/>
      </c>
      <c r="BY44" s="41" t="str">
        <f>+_xlfn.XLOOKUP($C44,$C$72:$C$105,BY$72:BY$105,"")</f>
        <v/>
      </c>
      <c r="BZ44" s="41" t="str">
        <f>+_xlfn.XLOOKUP($C44,$C$72:$C$105,BZ$72:BZ$105,"")</f>
        <v/>
      </c>
      <c r="CA44" s="41" t="str">
        <f>+_xlfn.XLOOKUP($C44,$C$72:$C$105,CA$72:CA$105,"")</f>
        <v/>
      </c>
      <c r="CB44" s="41" t="str">
        <f>+_xlfn.XLOOKUP($C44,$C$72:$C$105,CB$72:CB$105,"")</f>
        <v/>
      </c>
      <c r="CC44" s="41" t="str">
        <f>+_xlfn.XLOOKUP($C44,$C$72:$C$105,CC$72:CC$105,"")</f>
        <v/>
      </c>
      <c r="CD44" s="41" t="str">
        <f>+_xlfn.XLOOKUP($C44,$C$72:$C$105,CD$72:CD$105,"")</f>
        <v/>
      </c>
      <c r="CE44" s="41" t="str">
        <f>+_xlfn.XLOOKUP($C44,$C$72:$C$105,CE$72:CE$105,"")</f>
        <v/>
      </c>
      <c r="CF44" s="41" t="str">
        <f>+_xlfn.XLOOKUP($C44,$C$72:$C$105,CF$72:CF$105,"")</f>
        <v/>
      </c>
      <c r="CG44" s="41" t="str">
        <f>+_xlfn.XLOOKUP($C44,$C$72:$C$105,CG$72:CG$105,"")</f>
        <v/>
      </c>
      <c r="CH44" s="41" t="str">
        <f>+_xlfn.XLOOKUP($C44,$C$72:$C$105,CH$72:CH$105,"")</f>
        <v/>
      </c>
      <c r="CI44" s="41" t="str">
        <f>+_xlfn.XLOOKUP($C44,$C$72:$C$105,CI$72:CI$105,"")</f>
        <v/>
      </c>
      <c r="CJ44" s="41">
        <f>+_xlfn.XLOOKUP($C44,$C$72:$C$105,CJ$72:CJ$105,"")</f>
        <v>-20</v>
      </c>
      <c r="CK44" s="41" t="str">
        <f>+_xlfn.XLOOKUP($C44,$C$72:$C$105,CK$72:CK$105,"")</f>
        <v/>
      </c>
      <c r="CL44" s="41" t="str">
        <f>+_xlfn.XLOOKUP($C44,$C$72:$C$105,CL$72:CL$105,"")</f>
        <v/>
      </c>
      <c r="CM44" s="41" t="str">
        <f>+_xlfn.XLOOKUP($C44,$C$72:$C$105,CM$72:CM$105,"")</f>
        <v/>
      </c>
      <c r="CN44" s="41" t="str">
        <f>+_xlfn.XLOOKUP($C44,$C$72:$C$105,CN$72:CN$105,"")</f>
        <v/>
      </c>
      <c r="CO44" s="42"/>
      <c r="CP44" s="29">
        <f>+_xlfn.XLOOKUP($C44,$C$72:$C$105,CP$72:CP$105,"")</f>
        <v>-20</v>
      </c>
      <c r="CQ44" s="41"/>
      <c r="CR44" s="30">
        <f>+_xlfn.XLOOKUP($C44,$C$72:$C$105,CR$72:CR$105,"")</f>
        <v>-1</v>
      </c>
      <c r="CS44" s="31">
        <f>+_xlfn.XLOOKUP($C44,$C$72:$C$105,CS$72:CS$105,"")</f>
        <v>1</v>
      </c>
      <c r="CT44" s="31">
        <f>+_xlfn.XLOOKUP($C44,$C$72:$C$105,CT$72:CT$105,"")</f>
        <v>0</v>
      </c>
      <c r="CU44" s="30">
        <f>+_xlfn.XLOOKUP($C44,$C$72:$C$105,CU$72:CU$105,"")</f>
        <v>0</v>
      </c>
      <c r="CV44" s="30">
        <f>+_xlfn.XLOOKUP($C44,$C$72:$C$105,CV$72:CV$105,"")</f>
        <v>0</v>
      </c>
      <c r="CW44" s="30">
        <f>+_xlfn.XLOOKUP($C44,$C$72:$C$105,CW$72:CW$105,"")</f>
        <v>0.2</v>
      </c>
      <c r="CX44" s="32">
        <f>+_xlfn.XLOOKUP($C44,$C$72:$C$105,CX$72:CX$105,"")</f>
        <v>-20</v>
      </c>
    </row>
    <row r="45" spans="2:102" ht="12.75" customHeight="1" x14ac:dyDescent="0.2">
      <c r="B45" s="83">
        <f t="shared" si="94"/>
        <v>18</v>
      </c>
      <c r="C45" s="33" t="str">
        <v>Erik Kymäläinen</v>
      </c>
      <c r="D45" s="34" t="str">
        <f>+_xlfn.XLOOKUP($C45,$C$72:$C$105,D$72:D$105,"")</f>
        <v/>
      </c>
      <c r="E45" s="34" t="str">
        <f>+_xlfn.XLOOKUP($C45,$C$72:$C$105,E$72:E$105,"")</f>
        <v/>
      </c>
      <c r="F45" s="34" t="str">
        <f>+_xlfn.XLOOKUP($C45,$C$72:$C$105,F$72:F$105,"")</f>
        <v/>
      </c>
      <c r="G45" s="34" t="str">
        <f>+_xlfn.XLOOKUP($C45,$C$72:$C$105,G$72:G$105,"")</f>
        <v/>
      </c>
      <c r="H45" s="34" t="str">
        <f>+_xlfn.XLOOKUP($C45,$C$72:$C$105,H$72:H$105,"")</f>
        <v/>
      </c>
      <c r="I45" s="34" t="str">
        <f>+_xlfn.XLOOKUP($C45,$C$72:$C$105,I$72:I$105,"")</f>
        <v/>
      </c>
      <c r="J45" s="34" t="str">
        <f>+_xlfn.XLOOKUP($C45,$C$72:$C$105,J$72:J$105,"")</f>
        <v/>
      </c>
      <c r="K45" s="34" t="str">
        <f>+_xlfn.XLOOKUP($C45,$C$72:$C$105,K$72:K$105,"")</f>
        <v/>
      </c>
      <c r="L45" s="34" t="str">
        <f>+_xlfn.XLOOKUP($C45,$C$72:$C$105,L$72:L$105,"")</f>
        <v/>
      </c>
      <c r="M45" s="34" t="str">
        <f>+_xlfn.XLOOKUP($C45,$C$72:$C$105,M$72:M$105,"")</f>
        <v/>
      </c>
      <c r="N45" s="34" t="str">
        <f>+_xlfn.XLOOKUP($C45,$C$72:$C$105,N$72:N$105,"")</f>
        <v/>
      </c>
      <c r="O45" s="34" t="str">
        <f>+_xlfn.XLOOKUP($C45,$C$72:$C$105,O$72:O$105,"")</f>
        <v/>
      </c>
      <c r="P45" s="34" t="str">
        <f>+_xlfn.XLOOKUP($C45,$C$72:$C$105,P$72:P$105,"")</f>
        <v/>
      </c>
      <c r="Q45" s="34" t="str">
        <f>+_xlfn.XLOOKUP($C45,$C$72:$C$105,Q$72:Q$105,"")</f>
        <v/>
      </c>
      <c r="R45" s="34" t="str">
        <f>+_xlfn.XLOOKUP($C45,$C$72:$C$105,R$72:R$105,"")</f>
        <v/>
      </c>
      <c r="S45" s="34" t="str">
        <f>+_xlfn.XLOOKUP($C45,$C$72:$C$105,S$72:S$105,"")</f>
        <v/>
      </c>
      <c r="T45" s="34" t="str">
        <f>+_xlfn.XLOOKUP($C45,$C$72:$C$105,T$72:T$105,"")</f>
        <v/>
      </c>
      <c r="U45" s="34" t="str">
        <f>+_xlfn.XLOOKUP($C45,$C$72:$C$105,U$72:U$105,"")</f>
        <v/>
      </c>
      <c r="V45" s="34" t="str">
        <f>+_xlfn.XLOOKUP($C45,$C$72:$C$105,V$72:V$105,"")</f>
        <v/>
      </c>
      <c r="W45" s="34" t="str">
        <f>+_xlfn.XLOOKUP($C45,$C$72:$C$105,W$72:W$105,"")</f>
        <v/>
      </c>
      <c r="X45" s="34" t="str">
        <f>+_xlfn.XLOOKUP($C45,$C$72:$C$105,X$72:X$105,"")</f>
        <v/>
      </c>
      <c r="Y45" s="34" t="str">
        <f>+_xlfn.XLOOKUP($C45,$C$72:$C$105,Y$72:Y$105,"")</f>
        <v/>
      </c>
      <c r="Z45" s="34" t="str">
        <f>+_xlfn.XLOOKUP($C45,$C$72:$C$105,Z$72:Z$105,"")</f>
        <v/>
      </c>
      <c r="AA45" s="34" t="str">
        <f>+_xlfn.XLOOKUP($C45,$C$72:$C$105,AA$72:AA$105,"")</f>
        <v/>
      </c>
      <c r="AB45" s="34" t="str">
        <f>+_xlfn.XLOOKUP($C45,$C$72:$C$105,AB$72:AB$105,"")</f>
        <v/>
      </c>
      <c r="AC45" s="34" t="str">
        <f>+_xlfn.XLOOKUP($C45,$C$72:$C$105,AC$72:AC$105,"")</f>
        <v/>
      </c>
      <c r="AD45" s="34" t="str">
        <f>+_xlfn.XLOOKUP($C45,$C$72:$C$105,AD$72:AD$105,"")</f>
        <v/>
      </c>
      <c r="AE45" s="34" t="str">
        <f>+_xlfn.XLOOKUP($C45,$C$72:$C$105,AE$72:AE$105,"")</f>
        <v/>
      </c>
      <c r="AF45" s="34" t="str">
        <f>+_xlfn.XLOOKUP($C45,$C$72:$C$105,AF$72:AF$105,"")</f>
        <v/>
      </c>
      <c r="AG45" s="34" t="str">
        <f>+_xlfn.XLOOKUP($C45,$C$72:$C$105,AG$72:AG$105,"")</f>
        <v/>
      </c>
      <c r="AH45" s="34" t="str">
        <f>+_xlfn.XLOOKUP($C45,$C$72:$C$105,AH$72:AH$105,"")</f>
        <v/>
      </c>
      <c r="AI45" s="34" t="str">
        <f>+_xlfn.XLOOKUP($C45,$C$72:$C$105,AI$72:AI$105,"")</f>
        <v/>
      </c>
      <c r="AJ45" s="34" t="str">
        <f>+_xlfn.XLOOKUP($C45,$C$72:$C$105,AJ$72:AJ$105,"")</f>
        <v/>
      </c>
      <c r="AK45" s="34" t="str">
        <f>+_xlfn.XLOOKUP($C45,$C$72:$C$105,AK$72:AK$105,"")</f>
        <v/>
      </c>
      <c r="AL45" s="34" t="str">
        <f>+_xlfn.XLOOKUP($C45,$C$72:$C$105,AL$72:AL$105,"")</f>
        <v/>
      </c>
      <c r="AM45" s="34" t="str">
        <f>+_xlfn.XLOOKUP($C45,$C$72:$C$105,AM$72:AM$105,"")</f>
        <v/>
      </c>
      <c r="AN45" s="34" t="str">
        <f>+_xlfn.XLOOKUP($C45,$C$72:$C$105,AN$72:AN$105,"")</f>
        <v/>
      </c>
      <c r="AO45" s="34" t="str">
        <f>+_xlfn.XLOOKUP($C45,$C$72:$C$105,AO$72:AO$105,"")</f>
        <v/>
      </c>
      <c r="AP45" s="34" t="str">
        <f>+_xlfn.XLOOKUP($C45,$C$72:$C$105,AP$72:AP$105,"")</f>
        <v/>
      </c>
      <c r="AQ45" s="34" t="str">
        <f>+_xlfn.XLOOKUP($C45,$C$72:$C$105,AQ$72:AQ$105,"")</f>
        <v/>
      </c>
      <c r="AR45" s="34" t="str">
        <f>+_xlfn.XLOOKUP($C45,$C$72:$C$105,AR$72:AR$105,"")</f>
        <v/>
      </c>
      <c r="AS45" s="34" t="str">
        <f>+_xlfn.XLOOKUP($C45,$C$72:$C$105,AS$72:AS$105,"")</f>
        <v/>
      </c>
      <c r="AT45" s="34" t="str">
        <f>+_xlfn.XLOOKUP($C45,$C$72:$C$105,AT$72:AT$105,"")</f>
        <v/>
      </c>
      <c r="AU45" s="34" t="str">
        <f>+_xlfn.XLOOKUP($C45,$C$72:$C$105,AU$72:AU$105,"")</f>
        <v/>
      </c>
      <c r="AV45" s="34" t="str">
        <f>+_xlfn.XLOOKUP($C45,$C$72:$C$105,AV$72:AV$105,"")</f>
        <v/>
      </c>
      <c r="AW45" s="34" t="str">
        <f>+_xlfn.XLOOKUP($C45,$C$72:$C$105,AW$72:AW$105,"")</f>
        <v/>
      </c>
      <c r="AX45" s="34" t="str">
        <f>+_xlfn.XLOOKUP($C45,$C$72:$C$105,AX$72:AX$105,"")</f>
        <v/>
      </c>
      <c r="AY45" s="34" t="str">
        <f>+_xlfn.XLOOKUP($C45,$C$72:$C$105,AY$72:AY$105,"")</f>
        <v/>
      </c>
      <c r="AZ45" s="34" t="str">
        <f>+_xlfn.XLOOKUP($C45,$C$72:$C$105,AZ$72:AZ$105,"")</f>
        <v/>
      </c>
      <c r="BA45" s="34" t="str">
        <f>+_xlfn.XLOOKUP($C45,$C$72:$C$105,BA$72:BA$105,"")</f>
        <v/>
      </c>
      <c r="BB45" s="34" t="str">
        <f>+_xlfn.XLOOKUP($C45,$C$72:$C$105,BB$72:BB$105,"")</f>
        <v/>
      </c>
      <c r="BC45" s="34" t="str">
        <f>+_xlfn.XLOOKUP($C45,$C$72:$C$105,BC$72:BC$105,"")</f>
        <v/>
      </c>
      <c r="BD45" s="34" t="str">
        <f>+_xlfn.XLOOKUP($C45,$C$72:$C$105,BD$72:BD$105,"")</f>
        <v/>
      </c>
      <c r="BE45" s="34" t="str">
        <f>+_xlfn.XLOOKUP($C45,$C$72:$C$105,BE$72:BE$105,"")</f>
        <v/>
      </c>
      <c r="BF45" s="34" t="str">
        <f>+_xlfn.XLOOKUP($C45,$C$72:$C$105,BF$72:BF$105,"")</f>
        <v/>
      </c>
      <c r="BG45" s="34" t="str">
        <f>+_xlfn.XLOOKUP($C45,$C$72:$C$105,BG$72:BG$105,"")</f>
        <v/>
      </c>
      <c r="BH45" s="34" t="str">
        <f>+_xlfn.XLOOKUP($C45,$C$72:$C$105,BH$72:BH$105,"")</f>
        <v/>
      </c>
      <c r="BI45" s="34" t="str">
        <f>+_xlfn.XLOOKUP($C45,$C$72:$C$105,BI$72:BI$105,"")</f>
        <v/>
      </c>
      <c r="BJ45" s="34" t="str">
        <f>+_xlfn.XLOOKUP($C45,$C$72:$C$105,BJ$72:BJ$105,"")</f>
        <v/>
      </c>
      <c r="BK45" s="34" t="str">
        <f>+_xlfn.XLOOKUP($C45,$C$72:$C$105,BK$72:BK$105,"")</f>
        <v/>
      </c>
      <c r="BL45" s="34" t="str">
        <f>+_xlfn.XLOOKUP($C45,$C$72:$C$105,BL$72:BL$105,"")</f>
        <v/>
      </c>
      <c r="BM45" s="34" t="str">
        <f>+_xlfn.XLOOKUP($C45,$C$72:$C$105,BM$72:BM$105,"")</f>
        <v/>
      </c>
      <c r="BN45" s="34" t="str">
        <f>+_xlfn.XLOOKUP($C45,$C$72:$C$105,BN$72:BN$105,"")</f>
        <v/>
      </c>
      <c r="BO45" s="34" t="str">
        <f>+_xlfn.XLOOKUP($C45,$C$72:$C$105,BO$72:BO$105,"")</f>
        <v/>
      </c>
      <c r="BP45" s="34" t="str">
        <f>+_xlfn.XLOOKUP($C45,$C$72:$C$105,BP$72:BP$105,"")</f>
        <v/>
      </c>
      <c r="BQ45" s="34" t="str">
        <f>+_xlfn.XLOOKUP($C45,$C$72:$C$105,BQ$72:BQ$105,"")</f>
        <v/>
      </c>
      <c r="BR45" s="34" t="str">
        <f>+_xlfn.XLOOKUP($C45,$C$72:$C$105,BR$72:BR$105,"")</f>
        <v/>
      </c>
      <c r="BS45" s="34" t="str">
        <f>+_xlfn.XLOOKUP($C45,$C$72:$C$105,BS$72:BS$105,"")</f>
        <v/>
      </c>
      <c r="BT45" s="34" t="str">
        <f>+_xlfn.XLOOKUP($C45,$C$72:$C$105,BT$72:BT$105,"")</f>
        <v/>
      </c>
      <c r="BU45" s="34" t="str">
        <f>+_xlfn.XLOOKUP($C45,$C$72:$C$105,BU$72:BU$105,"")</f>
        <v/>
      </c>
      <c r="BV45" s="34" t="str">
        <f>+_xlfn.XLOOKUP($C45,$C$72:$C$105,BV$72:BV$105,"")</f>
        <v/>
      </c>
      <c r="BW45" s="34" t="str">
        <f>+_xlfn.XLOOKUP($C45,$C$72:$C$105,BW$72:BW$105,"")</f>
        <v/>
      </c>
      <c r="BX45" s="34" t="str">
        <f>+_xlfn.XLOOKUP($C45,$C$72:$C$105,BX$72:BX$105,"")</f>
        <v/>
      </c>
      <c r="BY45" s="34">
        <f>+_xlfn.XLOOKUP($C45,$C$72:$C$105,BY$72:BY$105,"")</f>
        <v>-25</v>
      </c>
      <c r="BZ45" s="34" t="str">
        <f>+_xlfn.XLOOKUP($C45,$C$72:$C$105,BZ$72:BZ$105,"")</f>
        <v/>
      </c>
      <c r="CA45" s="34" t="str">
        <f>+_xlfn.XLOOKUP($C45,$C$72:$C$105,CA$72:CA$105,"")</f>
        <v/>
      </c>
      <c r="CB45" s="34" t="str">
        <f>+_xlfn.XLOOKUP($C45,$C$72:$C$105,CB$72:CB$105,"")</f>
        <v/>
      </c>
      <c r="CC45" s="34" t="str">
        <f>+_xlfn.XLOOKUP($C45,$C$72:$C$105,CC$72:CC$105,"")</f>
        <v/>
      </c>
      <c r="CD45" s="34" t="str">
        <f>+_xlfn.XLOOKUP($C45,$C$72:$C$105,CD$72:CD$105,"")</f>
        <v/>
      </c>
      <c r="CE45" s="34" t="str">
        <f>+_xlfn.XLOOKUP($C45,$C$72:$C$105,CE$72:CE$105,"")</f>
        <v/>
      </c>
      <c r="CF45" s="34" t="str">
        <f>+_xlfn.XLOOKUP($C45,$C$72:$C$105,CF$72:CF$105,"")</f>
        <v/>
      </c>
      <c r="CG45" s="34" t="str">
        <f>+_xlfn.XLOOKUP($C45,$C$72:$C$105,CG$72:CG$105,"")</f>
        <v/>
      </c>
      <c r="CH45" s="34" t="str">
        <f>+_xlfn.XLOOKUP($C45,$C$72:$C$105,CH$72:CH$105,"")</f>
        <v/>
      </c>
      <c r="CI45" s="34" t="str">
        <f>+_xlfn.XLOOKUP($C45,$C$72:$C$105,CI$72:CI$105,"")</f>
        <v/>
      </c>
      <c r="CJ45" s="34" t="str">
        <f>+_xlfn.XLOOKUP($C45,$C$72:$C$105,CJ$72:CJ$105,"")</f>
        <v/>
      </c>
      <c r="CK45" s="34" t="str">
        <f>+_xlfn.XLOOKUP($C45,$C$72:$C$105,CK$72:CK$105,"")</f>
        <v/>
      </c>
      <c r="CL45" s="34" t="str">
        <f>+_xlfn.XLOOKUP($C45,$C$72:$C$105,CL$72:CL$105,"")</f>
        <v/>
      </c>
      <c r="CM45" s="34" t="str">
        <f>+_xlfn.XLOOKUP($C45,$C$72:$C$105,CM$72:CM$105,"")</f>
        <v/>
      </c>
      <c r="CN45" s="34" t="str">
        <f>+_xlfn.XLOOKUP($C45,$C$72:$C$105,CN$72:CN$105,"")</f>
        <v/>
      </c>
      <c r="CO45" s="35"/>
      <c r="CP45" s="36">
        <f>+_xlfn.XLOOKUP($C45,$C$72:$C$105,CP$72:CP$105,"")</f>
        <v>-25</v>
      </c>
      <c r="CQ45" s="34"/>
      <c r="CR45" s="37">
        <f>+_xlfn.XLOOKUP($C45,$C$72:$C$105,CR$72:CR$105,"")</f>
        <v>-1</v>
      </c>
      <c r="CS45" s="38">
        <f>+_xlfn.XLOOKUP($C45,$C$72:$C$105,CS$72:CS$105,"")</f>
        <v>1</v>
      </c>
      <c r="CT45" s="38">
        <f>+_xlfn.XLOOKUP($C45,$C$72:$C$105,CT$72:CT$105,"")</f>
        <v>0</v>
      </c>
      <c r="CU45" s="37">
        <f>+_xlfn.XLOOKUP($C45,$C$72:$C$105,CU$72:CU$105,"")</f>
        <v>0</v>
      </c>
      <c r="CV45" s="37">
        <f>+_xlfn.XLOOKUP($C45,$C$72:$C$105,CV$72:CV$105,"")</f>
        <v>0</v>
      </c>
      <c r="CW45" s="37">
        <f>+_xlfn.XLOOKUP($C45,$C$72:$C$105,CW$72:CW$105,"")</f>
        <v>9.0909090909090912E-2</v>
      </c>
      <c r="CX45" s="39">
        <f>+_xlfn.XLOOKUP($C45,$C$72:$C$105,CX$72:CX$105,"")</f>
        <v>-25</v>
      </c>
    </row>
    <row r="46" spans="2:102" ht="12.75" customHeight="1" x14ac:dyDescent="0.2">
      <c r="B46" s="84">
        <f t="shared" si="94"/>
        <v>19</v>
      </c>
      <c r="C46" s="40" t="str">
        <v>Jussi Raja</v>
      </c>
      <c r="D46" s="41" t="str">
        <f>+_xlfn.XLOOKUP($C46,$C$72:$C$105,D$72:D$105,"")</f>
        <v/>
      </c>
      <c r="E46" s="41" t="str">
        <f>+_xlfn.XLOOKUP($C46,$C$72:$C$105,E$72:E$105,"")</f>
        <v/>
      </c>
      <c r="F46" s="41" t="str">
        <f>+_xlfn.XLOOKUP($C46,$C$72:$C$105,F$72:F$105,"")</f>
        <v/>
      </c>
      <c r="G46" s="41" t="str">
        <f>+_xlfn.XLOOKUP($C46,$C$72:$C$105,G$72:G$105,"")</f>
        <v/>
      </c>
      <c r="H46" s="41" t="str">
        <f>+_xlfn.XLOOKUP($C46,$C$72:$C$105,H$72:H$105,"")</f>
        <v/>
      </c>
      <c r="I46" s="41" t="str">
        <f>+_xlfn.XLOOKUP($C46,$C$72:$C$105,I$72:I$105,"")</f>
        <v/>
      </c>
      <c r="J46" s="41" t="str">
        <f>+_xlfn.XLOOKUP($C46,$C$72:$C$105,J$72:J$105,"")</f>
        <v/>
      </c>
      <c r="K46" s="41" t="str">
        <f>+_xlfn.XLOOKUP($C46,$C$72:$C$105,K$72:K$105,"")</f>
        <v/>
      </c>
      <c r="L46" s="41" t="str">
        <f>+_xlfn.XLOOKUP($C46,$C$72:$C$105,L$72:L$105,"")</f>
        <v/>
      </c>
      <c r="M46" s="41" t="str">
        <f>+_xlfn.XLOOKUP($C46,$C$72:$C$105,M$72:M$105,"")</f>
        <v/>
      </c>
      <c r="N46" s="41" t="str">
        <f>+_xlfn.XLOOKUP($C46,$C$72:$C$105,N$72:N$105,"")</f>
        <v/>
      </c>
      <c r="O46" s="41" t="str">
        <f>+_xlfn.XLOOKUP($C46,$C$72:$C$105,O$72:O$105,"")</f>
        <v/>
      </c>
      <c r="P46" s="41" t="str">
        <f>+_xlfn.XLOOKUP($C46,$C$72:$C$105,P$72:P$105,"")</f>
        <v/>
      </c>
      <c r="Q46" s="41" t="str">
        <f>+_xlfn.XLOOKUP($C46,$C$72:$C$105,Q$72:Q$105,"")</f>
        <v/>
      </c>
      <c r="R46" s="41" t="str">
        <f>+_xlfn.XLOOKUP($C46,$C$72:$C$105,R$72:R$105,"")</f>
        <v/>
      </c>
      <c r="S46" s="41" t="str">
        <f>+_xlfn.XLOOKUP($C46,$C$72:$C$105,S$72:S$105,"")</f>
        <v/>
      </c>
      <c r="T46" s="41" t="str">
        <f>+_xlfn.XLOOKUP($C46,$C$72:$C$105,T$72:T$105,"")</f>
        <v/>
      </c>
      <c r="U46" s="41" t="str">
        <f>+_xlfn.XLOOKUP($C46,$C$72:$C$105,U$72:U$105,"")</f>
        <v/>
      </c>
      <c r="V46" s="41" t="str">
        <f>+_xlfn.XLOOKUP($C46,$C$72:$C$105,V$72:V$105,"")</f>
        <v/>
      </c>
      <c r="W46" s="41" t="str">
        <f>+_xlfn.XLOOKUP($C46,$C$72:$C$105,W$72:W$105,"")</f>
        <v/>
      </c>
      <c r="X46" s="41" t="str">
        <f>+_xlfn.XLOOKUP($C46,$C$72:$C$105,X$72:X$105,"")</f>
        <v/>
      </c>
      <c r="Y46" s="41" t="str">
        <f>+_xlfn.XLOOKUP($C46,$C$72:$C$105,Y$72:Y$105,"")</f>
        <v/>
      </c>
      <c r="Z46" s="41" t="str">
        <f>+_xlfn.XLOOKUP($C46,$C$72:$C$105,Z$72:Z$105,"")</f>
        <v/>
      </c>
      <c r="AA46" s="41" t="str">
        <f>+_xlfn.XLOOKUP($C46,$C$72:$C$105,AA$72:AA$105,"")</f>
        <v/>
      </c>
      <c r="AB46" s="41" t="str">
        <f>+_xlfn.XLOOKUP($C46,$C$72:$C$105,AB$72:AB$105,"")</f>
        <v/>
      </c>
      <c r="AC46" s="41" t="str">
        <f>+_xlfn.XLOOKUP($C46,$C$72:$C$105,AC$72:AC$105,"")</f>
        <v/>
      </c>
      <c r="AD46" s="41" t="str">
        <f>+_xlfn.XLOOKUP($C46,$C$72:$C$105,AD$72:AD$105,"")</f>
        <v/>
      </c>
      <c r="AE46" s="41" t="str">
        <f>+_xlfn.XLOOKUP($C46,$C$72:$C$105,AE$72:AE$105,"")</f>
        <v/>
      </c>
      <c r="AF46" s="41" t="str">
        <f>+_xlfn.XLOOKUP($C46,$C$72:$C$105,AF$72:AF$105,"")</f>
        <v/>
      </c>
      <c r="AG46" s="41" t="str">
        <f>+_xlfn.XLOOKUP($C46,$C$72:$C$105,AG$72:AG$105,"")</f>
        <v/>
      </c>
      <c r="AH46" s="41" t="str">
        <f>+_xlfn.XLOOKUP($C46,$C$72:$C$105,AH$72:AH$105,"")</f>
        <v/>
      </c>
      <c r="AI46" s="41" t="str">
        <f>+_xlfn.XLOOKUP($C46,$C$72:$C$105,AI$72:AI$105,"")</f>
        <v/>
      </c>
      <c r="AJ46" s="41" t="str">
        <f>+_xlfn.XLOOKUP($C46,$C$72:$C$105,AJ$72:AJ$105,"")</f>
        <v/>
      </c>
      <c r="AK46" s="41" t="str">
        <f>+_xlfn.XLOOKUP($C46,$C$72:$C$105,AK$72:AK$105,"")</f>
        <v/>
      </c>
      <c r="AL46" s="41" t="str">
        <f>+_xlfn.XLOOKUP($C46,$C$72:$C$105,AL$72:AL$105,"")</f>
        <v/>
      </c>
      <c r="AM46" s="41" t="str">
        <f>+_xlfn.XLOOKUP($C46,$C$72:$C$105,AM$72:AM$105,"")</f>
        <v/>
      </c>
      <c r="AN46" s="41" t="str">
        <f>+_xlfn.XLOOKUP($C46,$C$72:$C$105,AN$72:AN$105,"")</f>
        <v/>
      </c>
      <c r="AO46" s="41" t="str">
        <f>+_xlfn.XLOOKUP($C46,$C$72:$C$105,AO$72:AO$105,"")</f>
        <v/>
      </c>
      <c r="AP46" s="41" t="str">
        <f>+_xlfn.XLOOKUP($C46,$C$72:$C$105,AP$72:AP$105,"")</f>
        <v/>
      </c>
      <c r="AQ46" s="41" t="str">
        <f>+_xlfn.XLOOKUP($C46,$C$72:$C$105,AQ$72:AQ$105,"")</f>
        <v/>
      </c>
      <c r="AR46" s="41" t="str">
        <f>+_xlfn.XLOOKUP($C46,$C$72:$C$105,AR$72:AR$105,"")</f>
        <v/>
      </c>
      <c r="AS46" s="41" t="str">
        <f>+_xlfn.XLOOKUP($C46,$C$72:$C$105,AS$72:AS$105,"")</f>
        <v/>
      </c>
      <c r="AT46" s="41" t="str">
        <f>+_xlfn.XLOOKUP($C46,$C$72:$C$105,AT$72:AT$105,"")</f>
        <v/>
      </c>
      <c r="AU46" s="41" t="str">
        <f>+_xlfn.XLOOKUP($C46,$C$72:$C$105,AU$72:AU$105,"")</f>
        <v/>
      </c>
      <c r="AV46" s="41" t="str">
        <f>+_xlfn.XLOOKUP($C46,$C$72:$C$105,AV$72:AV$105,"")</f>
        <v/>
      </c>
      <c r="AW46" s="41">
        <f>+_xlfn.XLOOKUP($C46,$C$72:$C$105,AW$72:AW$105,"")</f>
        <v>-30</v>
      </c>
      <c r="AX46" s="41" t="str">
        <f>+_xlfn.XLOOKUP($C46,$C$72:$C$105,AX$72:AX$105,"")</f>
        <v/>
      </c>
      <c r="AY46" s="41" t="str">
        <f>+_xlfn.XLOOKUP($C46,$C$72:$C$105,AY$72:AY$105,"")</f>
        <v/>
      </c>
      <c r="AZ46" s="41" t="str">
        <f>+_xlfn.XLOOKUP($C46,$C$72:$C$105,AZ$72:AZ$105,"")</f>
        <v/>
      </c>
      <c r="BA46" s="41" t="str">
        <f>+_xlfn.XLOOKUP($C46,$C$72:$C$105,BA$72:BA$105,"")</f>
        <v/>
      </c>
      <c r="BB46" s="41" t="str">
        <f>+_xlfn.XLOOKUP($C46,$C$72:$C$105,BB$72:BB$105,"")</f>
        <v/>
      </c>
      <c r="BC46" s="41" t="str">
        <f>+_xlfn.XLOOKUP($C46,$C$72:$C$105,BC$72:BC$105,"")</f>
        <v/>
      </c>
      <c r="BD46" s="41" t="str">
        <f>+_xlfn.XLOOKUP($C46,$C$72:$C$105,BD$72:BD$105,"")</f>
        <v/>
      </c>
      <c r="BE46" s="41" t="str">
        <f>+_xlfn.XLOOKUP($C46,$C$72:$C$105,BE$72:BE$105,"")</f>
        <v/>
      </c>
      <c r="BF46" s="41" t="str">
        <f>+_xlfn.XLOOKUP($C46,$C$72:$C$105,BF$72:BF$105,"")</f>
        <v/>
      </c>
      <c r="BG46" s="41" t="str">
        <f>+_xlfn.XLOOKUP($C46,$C$72:$C$105,BG$72:BG$105,"")</f>
        <v/>
      </c>
      <c r="BH46" s="41" t="str">
        <f>+_xlfn.XLOOKUP($C46,$C$72:$C$105,BH$72:BH$105,"")</f>
        <v/>
      </c>
      <c r="BI46" s="41" t="str">
        <f>+_xlfn.XLOOKUP($C46,$C$72:$C$105,BI$72:BI$105,"")</f>
        <v/>
      </c>
      <c r="BJ46" s="41" t="str">
        <f>+_xlfn.XLOOKUP($C46,$C$72:$C$105,BJ$72:BJ$105,"")</f>
        <v/>
      </c>
      <c r="BK46" s="41" t="str">
        <f>+_xlfn.XLOOKUP($C46,$C$72:$C$105,BK$72:BK$105,"")</f>
        <v/>
      </c>
      <c r="BL46" s="41" t="str">
        <f>+_xlfn.XLOOKUP($C46,$C$72:$C$105,BL$72:BL$105,"")</f>
        <v/>
      </c>
      <c r="BM46" s="41" t="str">
        <f>+_xlfn.XLOOKUP($C46,$C$72:$C$105,BM$72:BM$105,"")</f>
        <v/>
      </c>
      <c r="BN46" s="41" t="str">
        <f>+_xlfn.XLOOKUP($C46,$C$72:$C$105,BN$72:BN$105,"")</f>
        <v/>
      </c>
      <c r="BO46" s="41" t="str">
        <f>+_xlfn.XLOOKUP($C46,$C$72:$C$105,BO$72:BO$105,"")</f>
        <v/>
      </c>
      <c r="BP46" s="41" t="str">
        <f>+_xlfn.XLOOKUP($C46,$C$72:$C$105,BP$72:BP$105,"")</f>
        <v/>
      </c>
      <c r="BQ46" s="41" t="str">
        <f>+_xlfn.XLOOKUP($C46,$C$72:$C$105,BQ$72:BQ$105,"")</f>
        <v/>
      </c>
      <c r="BR46" s="41" t="str">
        <f>+_xlfn.XLOOKUP($C46,$C$72:$C$105,BR$72:BR$105,"")</f>
        <v/>
      </c>
      <c r="BS46" s="41" t="str">
        <f>+_xlfn.XLOOKUP($C46,$C$72:$C$105,BS$72:BS$105,"")</f>
        <v/>
      </c>
      <c r="BT46" s="41" t="str">
        <f>+_xlfn.XLOOKUP($C46,$C$72:$C$105,BT$72:BT$105,"")</f>
        <v/>
      </c>
      <c r="BU46" s="41" t="str">
        <f>+_xlfn.XLOOKUP($C46,$C$72:$C$105,BU$72:BU$105,"")</f>
        <v/>
      </c>
      <c r="BV46" s="41" t="str">
        <f>+_xlfn.XLOOKUP($C46,$C$72:$C$105,BV$72:BV$105,"")</f>
        <v/>
      </c>
      <c r="BW46" s="41" t="str">
        <f>+_xlfn.XLOOKUP($C46,$C$72:$C$105,BW$72:BW$105,"")</f>
        <v/>
      </c>
      <c r="BX46" s="41" t="str">
        <f>+_xlfn.XLOOKUP($C46,$C$72:$C$105,BX$72:BX$105,"")</f>
        <v/>
      </c>
      <c r="BY46" s="41" t="str">
        <f>+_xlfn.XLOOKUP($C46,$C$72:$C$105,BY$72:BY$105,"")</f>
        <v/>
      </c>
      <c r="BZ46" s="41" t="str">
        <f>+_xlfn.XLOOKUP($C46,$C$72:$C$105,BZ$72:BZ$105,"")</f>
        <v/>
      </c>
      <c r="CA46" s="41" t="str">
        <f>+_xlfn.XLOOKUP($C46,$C$72:$C$105,CA$72:CA$105,"")</f>
        <v/>
      </c>
      <c r="CB46" s="41" t="str">
        <f>+_xlfn.XLOOKUP($C46,$C$72:$C$105,CB$72:CB$105,"")</f>
        <v/>
      </c>
      <c r="CC46" s="41" t="str">
        <f>+_xlfn.XLOOKUP($C46,$C$72:$C$105,CC$72:CC$105,"")</f>
        <v/>
      </c>
      <c r="CD46" s="41" t="str">
        <f>+_xlfn.XLOOKUP($C46,$C$72:$C$105,CD$72:CD$105,"")</f>
        <v/>
      </c>
      <c r="CE46" s="41" t="str">
        <f>+_xlfn.XLOOKUP($C46,$C$72:$C$105,CE$72:CE$105,"")</f>
        <v/>
      </c>
      <c r="CF46" s="41" t="str">
        <f>+_xlfn.XLOOKUP($C46,$C$72:$C$105,CF$72:CF$105,"")</f>
        <v/>
      </c>
      <c r="CG46" s="41" t="str">
        <f>+_xlfn.XLOOKUP($C46,$C$72:$C$105,CG$72:CG$105,"")</f>
        <v/>
      </c>
      <c r="CH46" s="41" t="str">
        <f>+_xlfn.XLOOKUP($C46,$C$72:$C$105,CH$72:CH$105,"")</f>
        <v/>
      </c>
      <c r="CI46" s="41" t="str">
        <f>+_xlfn.XLOOKUP($C46,$C$72:$C$105,CI$72:CI$105,"")</f>
        <v/>
      </c>
      <c r="CJ46" s="41" t="str">
        <f>+_xlfn.XLOOKUP($C46,$C$72:$C$105,CJ$72:CJ$105,"")</f>
        <v/>
      </c>
      <c r="CK46" s="41" t="str">
        <f>+_xlfn.XLOOKUP($C46,$C$72:$C$105,CK$72:CK$105,"")</f>
        <v/>
      </c>
      <c r="CL46" s="41" t="str">
        <f>+_xlfn.XLOOKUP($C46,$C$72:$C$105,CL$72:CL$105,"")</f>
        <v/>
      </c>
      <c r="CM46" s="41" t="str">
        <f>+_xlfn.XLOOKUP($C46,$C$72:$C$105,CM$72:CM$105,"")</f>
        <v/>
      </c>
      <c r="CN46" s="41" t="str">
        <f>+_xlfn.XLOOKUP($C46,$C$72:$C$105,CN$72:CN$105,"")</f>
        <v/>
      </c>
      <c r="CO46" s="42"/>
      <c r="CP46" s="29">
        <f>+_xlfn.XLOOKUP($C46,$C$72:$C$105,CP$72:CP$105,"")</f>
        <v>-30</v>
      </c>
      <c r="CQ46" s="41"/>
      <c r="CR46" s="30">
        <f>+_xlfn.XLOOKUP($C46,$C$72:$C$105,CR$72:CR$105,"")</f>
        <v>-1</v>
      </c>
      <c r="CS46" s="31">
        <f>+_xlfn.XLOOKUP($C46,$C$72:$C$105,CS$72:CS$105,"")</f>
        <v>1</v>
      </c>
      <c r="CT46" s="31">
        <f>+_xlfn.XLOOKUP($C46,$C$72:$C$105,CT$72:CT$105,"")</f>
        <v>0</v>
      </c>
      <c r="CU46" s="30">
        <f>+_xlfn.XLOOKUP($C46,$C$72:$C$105,CU$72:CU$105,"")</f>
        <v>0</v>
      </c>
      <c r="CV46" s="30">
        <f>+_xlfn.XLOOKUP($C46,$C$72:$C$105,CV$72:CV$105,"")</f>
        <v>0</v>
      </c>
      <c r="CW46" s="30">
        <f>+_xlfn.XLOOKUP($C46,$C$72:$C$105,CW$72:CW$105,"")</f>
        <v>0.16666666666666666</v>
      </c>
      <c r="CX46" s="32">
        <f>+_xlfn.XLOOKUP($C46,$C$72:$C$105,CX$72:CX$105,"")</f>
        <v>-30</v>
      </c>
    </row>
    <row r="47" spans="2:102" ht="12.75" customHeight="1" x14ac:dyDescent="0.2">
      <c r="B47" s="83">
        <f t="shared" si="94"/>
        <v>20</v>
      </c>
      <c r="C47" s="33" t="str">
        <v>Johannes Jäämeri</v>
      </c>
      <c r="D47" s="34" t="str">
        <f>+_xlfn.XLOOKUP($C47,$C$72:$C$105,D$72:D$105,"")</f>
        <v/>
      </c>
      <c r="E47" s="34" t="str">
        <f>+_xlfn.XLOOKUP($C47,$C$72:$C$105,E$72:E$105,"")</f>
        <v/>
      </c>
      <c r="F47" s="34" t="str">
        <f>+_xlfn.XLOOKUP($C47,$C$72:$C$105,F$72:F$105,"")</f>
        <v/>
      </c>
      <c r="G47" s="34" t="str">
        <f>+_xlfn.XLOOKUP($C47,$C$72:$C$105,G$72:G$105,"")</f>
        <v/>
      </c>
      <c r="H47" s="34" t="str">
        <f>+_xlfn.XLOOKUP($C47,$C$72:$C$105,H$72:H$105,"")</f>
        <v/>
      </c>
      <c r="I47" s="34" t="str">
        <f>+_xlfn.XLOOKUP($C47,$C$72:$C$105,I$72:I$105,"")</f>
        <v/>
      </c>
      <c r="J47" s="34" t="str">
        <f>+_xlfn.XLOOKUP($C47,$C$72:$C$105,J$72:J$105,"")</f>
        <v/>
      </c>
      <c r="K47" s="34" t="str">
        <f>+_xlfn.XLOOKUP($C47,$C$72:$C$105,K$72:K$105,"")</f>
        <v/>
      </c>
      <c r="L47" s="34" t="str">
        <f>+_xlfn.XLOOKUP($C47,$C$72:$C$105,L$72:L$105,"")</f>
        <v/>
      </c>
      <c r="M47" s="34" t="str">
        <f>+_xlfn.XLOOKUP($C47,$C$72:$C$105,M$72:M$105,"")</f>
        <v/>
      </c>
      <c r="N47" s="34" t="str">
        <f>+_xlfn.XLOOKUP($C47,$C$72:$C$105,N$72:N$105,"")</f>
        <v/>
      </c>
      <c r="O47" s="34" t="str">
        <f>+_xlfn.XLOOKUP($C47,$C$72:$C$105,O$72:O$105,"")</f>
        <v/>
      </c>
      <c r="P47" s="34" t="str">
        <f>+_xlfn.XLOOKUP($C47,$C$72:$C$105,P$72:P$105,"")</f>
        <v/>
      </c>
      <c r="Q47" s="34" t="str">
        <f>+_xlfn.XLOOKUP($C47,$C$72:$C$105,Q$72:Q$105,"")</f>
        <v/>
      </c>
      <c r="R47" s="34" t="str">
        <f>+_xlfn.XLOOKUP($C47,$C$72:$C$105,R$72:R$105,"")</f>
        <v/>
      </c>
      <c r="S47" s="34" t="str">
        <f>+_xlfn.XLOOKUP($C47,$C$72:$C$105,S$72:S$105,"")</f>
        <v/>
      </c>
      <c r="T47" s="34" t="str">
        <f>+_xlfn.XLOOKUP($C47,$C$72:$C$105,T$72:T$105,"")</f>
        <v/>
      </c>
      <c r="U47" s="34" t="str">
        <f>+_xlfn.XLOOKUP($C47,$C$72:$C$105,U$72:U$105,"")</f>
        <v/>
      </c>
      <c r="V47" s="34" t="str">
        <f>+_xlfn.XLOOKUP($C47,$C$72:$C$105,V$72:V$105,"")</f>
        <v/>
      </c>
      <c r="W47" s="34" t="str">
        <f>+_xlfn.XLOOKUP($C47,$C$72:$C$105,W$72:W$105,"")</f>
        <v/>
      </c>
      <c r="X47" s="34" t="str">
        <f>+_xlfn.XLOOKUP($C47,$C$72:$C$105,X$72:X$105,"")</f>
        <v/>
      </c>
      <c r="Y47" s="34" t="str">
        <f>+_xlfn.XLOOKUP($C47,$C$72:$C$105,Y$72:Y$105,"")</f>
        <v/>
      </c>
      <c r="Z47" s="34" t="str">
        <f>+_xlfn.XLOOKUP($C47,$C$72:$C$105,Z$72:Z$105,"")</f>
        <v/>
      </c>
      <c r="AA47" s="34" t="str">
        <f>+_xlfn.XLOOKUP($C47,$C$72:$C$105,AA$72:AA$105,"")</f>
        <v/>
      </c>
      <c r="AB47" s="34" t="str">
        <f>+_xlfn.XLOOKUP($C47,$C$72:$C$105,AB$72:AB$105,"")</f>
        <v/>
      </c>
      <c r="AC47" s="34" t="str">
        <f>+_xlfn.XLOOKUP($C47,$C$72:$C$105,AC$72:AC$105,"")</f>
        <v/>
      </c>
      <c r="AD47" s="34" t="str">
        <f>+_xlfn.XLOOKUP($C47,$C$72:$C$105,AD$72:AD$105,"")</f>
        <v/>
      </c>
      <c r="AE47" s="34" t="str">
        <f>+_xlfn.XLOOKUP($C47,$C$72:$C$105,AE$72:AE$105,"")</f>
        <v/>
      </c>
      <c r="AF47" s="34" t="str">
        <f>+_xlfn.XLOOKUP($C47,$C$72:$C$105,AF$72:AF$105,"")</f>
        <v/>
      </c>
      <c r="AG47" s="34" t="str">
        <f>+_xlfn.XLOOKUP($C47,$C$72:$C$105,AG$72:AG$105,"")</f>
        <v/>
      </c>
      <c r="AH47" s="34" t="str">
        <f>+_xlfn.XLOOKUP($C47,$C$72:$C$105,AH$72:AH$105,"")</f>
        <v/>
      </c>
      <c r="AI47" s="34" t="str">
        <f>+_xlfn.XLOOKUP($C47,$C$72:$C$105,AI$72:AI$105,"")</f>
        <v/>
      </c>
      <c r="AJ47" s="34" t="str">
        <f>+_xlfn.XLOOKUP($C47,$C$72:$C$105,AJ$72:AJ$105,"")</f>
        <v/>
      </c>
      <c r="AK47" s="34" t="str">
        <f>+_xlfn.XLOOKUP($C47,$C$72:$C$105,AK$72:AK$105,"")</f>
        <v/>
      </c>
      <c r="AL47" s="34" t="str">
        <f>+_xlfn.XLOOKUP($C47,$C$72:$C$105,AL$72:AL$105,"")</f>
        <v/>
      </c>
      <c r="AM47" s="34" t="str">
        <f>+_xlfn.XLOOKUP($C47,$C$72:$C$105,AM$72:AM$105,"")</f>
        <v/>
      </c>
      <c r="AN47" s="34" t="str">
        <f>+_xlfn.XLOOKUP($C47,$C$72:$C$105,AN$72:AN$105,"")</f>
        <v/>
      </c>
      <c r="AO47" s="34" t="str">
        <f>+_xlfn.XLOOKUP($C47,$C$72:$C$105,AO$72:AO$105,"")</f>
        <v/>
      </c>
      <c r="AP47" s="34" t="str">
        <f>+_xlfn.XLOOKUP($C47,$C$72:$C$105,AP$72:AP$105,"")</f>
        <v/>
      </c>
      <c r="AQ47" s="34" t="str">
        <f>+_xlfn.XLOOKUP($C47,$C$72:$C$105,AQ$72:AQ$105,"")</f>
        <v/>
      </c>
      <c r="AR47" s="34" t="str">
        <f>+_xlfn.XLOOKUP($C47,$C$72:$C$105,AR$72:AR$105,"")</f>
        <v/>
      </c>
      <c r="AS47" s="34">
        <f>+_xlfn.XLOOKUP($C47,$C$72:$C$105,AS$72:AS$105,"")</f>
        <v>-40</v>
      </c>
      <c r="AT47" s="34" t="str">
        <f>+_xlfn.XLOOKUP($C47,$C$72:$C$105,AT$72:AT$105,"")</f>
        <v/>
      </c>
      <c r="AU47" s="34" t="str">
        <f>+_xlfn.XLOOKUP($C47,$C$72:$C$105,AU$72:AU$105,"")</f>
        <v/>
      </c>
      <c r="AV47" s="34" t="str">
        <f>+_xlfn.XLOOKUP($C47,$C$72:$C$105,AV$72:AV$105,"")</f>
        <v/>
      </c>
      <c r="AW47" s="34" t="str">
        <f>+_xlfn.XLOOKUP($C47,$C$72:$C$105,AW$72:AW$105,"")</f>
        <v/>
      </c>
      <c r="AX47" s="34" t="str">
        <f>+_xlfn.XLOOKUP($C47,$C$72:$C$105,AX$72:AX$105,"")</f>
        <v/>
      </c>
      <c r="AY47" s="34" t="str">
        <f>+_xlfn.XLOOKUP($C47,$C$72:$C$105,AY$72:AY$105,"")</f>
        <v/>
      </c>
      <c r="AZ47" s="34" t="str">
        <f>+_xlfn.XLOOKUP($C47,$C$72:$C$105,AZ$72:AZ$105,"")</f>
        <v/>
      </c>
      <c r="BA47" s="34" t="str">
        <f>+_xlfn.XLOOKUP($C47,$C$72:$C$105,BA$72:BA$105,"")</f>
        <v/>
      </c>
      <c r="BB47" s="34" t="str">
        <f>+_xlfn.XLOOKUP($C47,$C$72:$C$105,BB$72:BB$105,"")</f>
        <v/>
      </c>
      <c r="BC47" s="34" t="str">
        <f>+_xlfn.XLOOKUP($C47,$C$72:$C$105,BC$72:BC$105,"")</f>
        <v/>
      </c>
      <c r="BD47" s="34" t="str">
        <f>+_xlfn.XLOOKUP($C47,$C$72:$C$105,BD$72:BD$105,"")</f>
        <v/>
      </c>
      <c r="BE47" s="34" t="str">
        <f>+_xlfn.XLOOKUP($C47,$C$72:$C$105,BE$72:BE$105,"")</f>
        <v/>
      </c>
      <c r="BF47" s="34" t="str">
        <f>+_xlfn.XLOOKUP($C47,$C$72:$C$105,BF$72:BF$105,"")</f>
        <v/>
      </c>
      <c r="BG47" s="34" t="str">
        <f>+_xlfn.XLOOKUP($C47,$C$72:$C$105,BG$72:BG$105,"")</f>
        <v/>
      </c>
      <c r="BH47" s="34" t="str">
        <f>+_xlfn.XLOOKUP($C47,$C$72:$C$105,BH$72:BH$105,"")</f>
        <v/>
      </c>
      <c r="BI47" s="34" t="str">
        <f>+_xlfn.XLOOKUP($C47,$C$72:$C$105,BI$72:BI$105,"")</f>
        <v/>
      </c>
      <c r="BJ47" s="34" t="str">
        <f>+_xlfn.XLOOKUP($C47,$C$72:$C$105,BJ$72:BJ$105,"")</f>
        <v/>
      </c>
      <c r="BK47" s="34" t="str">
        <f>+_xlfn.XLOOKUP($C47,$C$72:$C$105,BK$72:BK$105,"")</f>
        <v/>
      </c>
      <c r="BL47" s="34" t="str">
        <f>+_xlfn.XLOOKUP($C47,$C$72:$C$105,BL$72:BL$105,"")</f>
        <v/>
      </c>
      <c r="BM47" s="34" t="str">
        <f>+_xlfn.XLOOKUP($C47,$C$72:$C$105,BM$72:BM$105,"")</f>
        <v/>
      </c>
      <c r="BN47" s="34" t="str">
        <f>+_xlfn.XLOOKUP($C47,$C$72:$C$105,BN$72:BN$105,"")</f>
        <v/>
      </c>
      <c r="BO47" s="34" t="str">
        <f>+_xlfn.XLOOKUP($C47,$C$72:$C$105,BO$72:BO$105,"")</f>
        <v/>
      </c>
      <c r="BP47" s="34" t="str">
        <f>+_xlfn.XLOOKUP($C47,$C$72:$C$105,BP$72:BP$105,"")</f>
        <v/>
      </c>
      <c r="BQ47" s="34" t="str">
        <f>+_xlfn.XLOOKUP($C47,$C$72:$C$105,BQ$72:BQ$105,"")</f>
        <v/>
      </c>
      <c r="BR47" s="34" t="str">
        <f>+_xlfn.XLOOKUP($C47,$C$72:$C$105,BR$72:BR$105,"")</f>
        <v/>
      </c>
      <c r="BS47" s="34" t="str">
        <f>+_xlfn.XLOOKUP($C47,$C$72:$C$105,BS$72:BS$105,"")</f>
        <v/>
      </c>
      <c r="BT47" s="34" t="str">
        <f>+_xlfn.XLOOKUP($C47,$C$72:$C$105,BT$72:BT$105,"")</f>
        <v/>
      </c>
      <c r="BU47" s="34" t="str">
        <f>+_xlfn.XLOOKUP($C47,$C$72:$C$105,BU$72:BU$105,"")</f>
        <v/>
      </c>
      <c r="BV47" s="34" t="str">
        <f>+_xlfn.XLOOKUP($C47,$C$72:$C$105,BV$72:BV$105,"")</f>
        <v/>
      </c>
      <c r="BW47" s="34" t="str">
        <f>+_xlfn.XLOOKUP($C47,$C$72:$C$105,BW$72:BW$105,"")</f>
        <v/>
      </c>
      <c r="BX47" s="34" t="str">
        <f>+_xlfn.XLOOKUP($C47,$C$72:$C$105,BX$72:BX$105,"")</f>
        <v/>
      </c>
      <c r="BY47" s="34" t="str">
        <f>+_xlfn.XLOOKUP($C47,$C$72:$C$105,BY$72:BY$105,"")</f>
        <v/>
      </c>
      <c r="BZ47" s="34" t="str">
        <f>+_xlfn.XLOOKUP($C47,$C$72:$C$105,BZ$72:BZ$105,"")</f>
        <v/>
      </c>
      <c r="CA47" s="34" t="str">
        <f>+_xlfn.XLOOKUP($C47,$C$72:$C$105,CA$72:CA$105,"")</f>
        <v/>
      </c>
      <c r="CB47" s="34" t="str">
        <f>+_xlfn.XLOOKUP($C47,$C$72:$C$105,CB$72:CB$105,"")</f>
        <v/>
      </c>
      <c r="CC47" s="34" t="str">
        <f>+_xlfn.XLOOKUP($C47,$C$72:$C$105,CC$72:CC$105,"")</f>
        <v/>
      </c>
      <c r="CD47" s="34" t="str">
        <f>+_xlfn.XLOOKUP($C47,$C$72:$C$105,CD$72:CD$105,"")</f>
        <v/>
      </c>
      <c r="CE47" s="34" t="str">
        <f>+_xlfn.XLOOKUP($C47,$C$72:$C$105,CE$72:CE$105,"")</f>
        <v/>
      </c>
      <c r="CF47" s="34" t="str">
        <f>+_xlfn.XLOOKUP($C47,$C$72:$C$105,CF$72:CF$105,"")</f>
        <v/>
      </c>
      <c r="CG47" s="34" t="str">
        <f>+_xlfn.XLOOKUP($C47,$C$72:$C$105,CG$72:CG$105,"")</f>
        <v/>
      </c>
      <c r="CH47" s="34" t="str">
        <f>+_xlfn.XLOOKUP($C47,$C$72:$C$105,CH$72:CH$105,"")</f>
        <v/>
      </c>
      <c r="CI47" s="34" t="str">
        <f>+_xlfn.XLOOKUP($C47,$C$72:$C$105,CI$72:CI$105,"")</f>
        <v/>
      </c>
      <c r="CJ47" s="34" t="str">
        <f>+_xlfn.XLOOKUP($C47,$C$72:$C$105,CJ$72:CJ$105,"")</f>
        <v/>
      </c>
      <c r="CK47" s="34" t="str">
        <f>+_xlfn.XLOOKUP($C47,$C$72:$C$105,CK$72:CK$105,"")</f>
        <v/>
      </c>
      <c r="CL47" s="34" t="str">
        <f>+_xlfn.XLOOKUP($C47,$C$72:$C$105,CL$72:CL$105,"")</f>
        <v/>
      </c>
      <c r="CM47" s="34" t="str">
        <f>+_xlfn.XLOOKUP($C47,$C$72:$C$105,CM$72:CM$105,"")</f>
        <v/>
      </c>
      <c r="CN47" s="34" t="str">
        <f>+_xlfn.XLOOKUP($C47,$C$72:$C$105,CN$72:CN$105,"")</f>
        <v/>
      </c>
      <c r="CO47" s="35"/>
      <c r="CP47" s="36">
        <f>+_xlfn.XLOOKUP($C47,$C$72:$C$105,CP$72:CP$105,"")</f>
        <v>-40</v>
      </c>
      <c r="CQ47" s="34"/>
      <c r="CR47" s="37">
        <f>+_xlfn.XLOOKUP($C47,$C$72:$C$105,CR$72:CR$105,"")</f>
        <v>-1</v>
      </c>
      <c r="CS47" s="38">
        <f>+_xlfn.XLOOKUP($C47,$C$72:$C$105,CS$72:CS$105,"")</f>
        <v>1</v>
      </c>
      <c r="CT47" s="38">
        <f>+_xlfn.XLOOKUP($C47,$C$72:$C$105,CT$72:CT$105,"")</f>
        <v>0</v>
      </c>
      <c r="CU47" s="37">
        <f>+_xlfn.XLOOKUP($C47,$C$72:$C$105,CU$72:CU$105,"")</f>
        <v>0</v>
      </c>
      <c r="CV47" s="37">
        <f>+_xlfn.XLOOKUP($C47,$C$72:$C$105,CV$72:CV$105,"")</f>
        <v>0</v>
      </c>
      <c r="CW47" s="37">
        <f>+_xlfn.XLOOKUP($C47,$C$72:$C$105,CW$72:CW$105,"")</f>
        <v>0.125</v>
      </c>
      <c r="CX47" s="39">
        <f>+_xlfn.XLOOKUP($C47,$C$72:$C$105,CX$72:CX$105,"")</f>
        <v>-40</v>
      </c>
    </row>
    <row r="48" spans="2:102" ht="12.75" customHeight="1" x14ac:dyDescent="0.2">
      <c r="B48" s="84">
        <f t="shared" si="94"/>
        <v>21</v>
      </c>
      <c r="C48" s="40" t="str">
        <v>[Joniksen kämppis]</v>
      </c>
      <c r="D48" s="41" t="str">
        <f>+_xlfn.XLOOKUP($C48,$C$72:$C$105,D$72:D$105,"")</f>
        <v/>
      </c>
      <c r="E48" s="41" t="str">
        <f>+_xlfn.XLOOKUP($C48,$C$72:$C$105,E$72:E$105,"")</f>
        <v/>
      </c>
      <c r="F48" s="41" t="str">
        <f>+_xlfn.XLOOKUP($C48,$C$72:$C$105,F$72:F$105,"")</f>
        <v/>
      </c>
      <c r="G48" s="41" t="str">
        <f>+_xlfn.XLOOKUP($C48,$C$72:$C$105,G$72:G$105,"")</f>
        <v/>
      </c>
      <c r="H48" s="41" t="str">
        <f>+_xlfn.XLOOKUP($C48,$C$72:$C$105,H$72:H$105,"")</f>
        <v/>
      </c>
      <c r="I48" s="41" t="str">
        <f>+_xlfn.XLOOKUP($C48,$C$72:$C$105,I$72:I$105,"")</f>
        <v/>
      </c>
      <c r="J48" s="41" t="str">
        <f>+_xlfn.XLOOKUP($C48,$C$72:$C$105,J$72:J$105,"")</f>
        <v/>
      </c>
      <c r="K48" s="41" t="str">
        <f>+_xlfn.XLOOKUP($C48,$C$72:$C$105,K$72:K$105,"")</f>
        <v/>
      </c>
      <c r="L48" s="41" t="str">
        <f>+_xlfn.XLOOKUP($C48,$C$72:$C$105,L$72:L$105,"")</f>
        <v/>
      </c>
      <c r="M48" s="41" t="str">
        <f>+_xlfn.XLOOKUP($C48,$C$72:$C$105,M$72:M$105,"")</f>
        <v/>
      </c>
      <c r="N48" s="41" t="str">
        <f>+_xlfn.XLOOKUP($C48,$C$72:$C$105,N$72:N$105,"")</f>
        <v/>
      </c>
      <c r="O48" s="41" t="str">
        <f>+_xlfn.XLOOKUP($C48,$C$72:$C$105,O$72:O$105,"")</f>
        <v/>
      </c>
      <c r="P48" s="41" t="str">
        <f>+_xlfn.XLOOKUP($C48,$C$72:$C$105,P$72:P$105,"")</f>
        <v/>
      </c>
      <c r="Q48" s="41" t="str">
        <f>+_xlfn.XLOOKUP($C48,$C$72:$C$105,Q$72:Q$105,"")</f>
        <v/>
      </c>
      <c r="R48" s="41" t="str">
        <f>+_xlfn.XLOOKUP($C48,$C$72:$C$105,R$72:R$105,"")</f>
        <v/>
      </c>
      <c r="S48" s="41" t="str">
        <f>+_xlfn.XLOOKUP($C48,$C$72:$C$105,S$72:S$105,"")</f>
        <v/>
      </c>
      <c r="T48" s="41" t="str">
        <f>+_xlfn.XLOOKUP($C48,$C$72:$C$105,T$72:T$105,"")</f>
        <v/>
      </c>
      <c r="U48" s="41" t="str">
        <f>+_xlfn.XLOOKUP($C48,$C$72:$C$105,U$72:U$105,"")</f>
        <v/>
      </c>
      <c r="V48" s="41" t="str">
        <f>+_xlfn.XLOOKUP($C48,$C$72:$C$105,V$72:V$105,"")</f>
        <v/>
      </c>
      <c r="W48" s="41" t="str">
        <f>+_xlfn.XLOOKUP($C48,$C$72:$C$105,W$72:W$105,"")</f>
        <v/>
      </c>
      <c r="X48" s="41" t="str">
        <f>+_xlfn.XLOOKUP($C48,$C$72:$C$105,X$72:X$105,"")</f>
        <v/>
      </c>
      <c r="Y48" s="41" t="str">
        <f>+_xlfn.XLOOKUP($C48,$C$72:$C$105,Y$72:Y$105,"")</f>
        <v/>
      </c>
      <c r="Z48" s="41" t="str">
        <f>+_xlfn.XLOOKUP($C48,$C$72:$C$105,Z$72:Z$105,"")</f>
        <v/>
      </c>
      <c r="AA48" s="41" t="str">
        <f>+_xlfn.XLOOKUP($C48,$C$72:$C$105,AA$72:AA$105,"")</f>
        <v/>
      </c>
      <c r="AB48" s="41" t="str">
        <f>+_xlfn.XLOOKUP($C48,$C$72:$C$105,AB$72:AB$105,"")</f>
        <v/>
      </c>
      <c r="AC48" s="41" t="str">
        <f>+_xlfn.XLOOKUP($C48,$C$72:$C$105,AC$72:AC$105,"")</f>
        <v/>
      </c>
      <c r="AD48" s="41" t="str">
        <f>+_xlfn.XLOOKUP($C48,$C$72:$C$105,AD$72:AD$105,"")</f>
        <v/>
      </c>
      <c r="AE48" s="41" t="str">
        <f>+_xlfn.XLOOKUP($C48,$C$72:$C$105,AE$72:AE$105,"")</f>
        <v/>
      </c>
      <c r="AF48" s="41" t="str">
        <f>+_xlfn.XLOOKUP($C48,$C$72:$C$105,AF$72:AF$105,"")</f>
        <v/>
      </c>
      <c r="AG48" s="41" t="str">
        <f>+_xlfn.XLOOKUP($C48,$C$72:$C$105,AG$72:AG$105,"")</f>
        <v/>
      </c>
      <c r="AH48" s="41" t="str">
        <f>+_xlfn.XLOOKUP($C48,$C$72:$C$105,AH$72:AH$105,"")</f>
        <v/>
      </c>
      <c r="AI48" s="41" t="str">
        <f>+_xlfn.XLOOKUP($C48,$C$72:$C$105,AI$72:AI$105,"")</f>
        <v/>
      </c>
      <c r="AJ48" s="41" t="str">
        <f>+_xlfn.XLOOKUP($C48,$C$72:$C$105,AJ$72:AJ$105,"")</f>
        <v/>
      </c>
      <c r="AK48" s="41" t="str">
        <f>+_xlfn.XLOOKUP($C48,$C$72:$C$105,AK$72:AK$105,"")</f>
        <v/>
      </c>
      <c r="AL48" s="41" t="str">
        <f>+_xlfn.XLOOKUP($C48,$C$72:$C$105,AL$72:AL$105,"")</f>
        <v/>
      </c>
      <c r="AM48" s="41" t="str">
        <f>+_xlfn.XLOOKUP($C48,$C$72:$C$105,AM$72:AM$105,"")</f>
        <v/>
      </c>
      <c r="AN48" s="41" t="str">
        <f>+_xlfn.XLOOKUP($C48,$C$72:$C$105,AN$72:AN$105,"")</f>
        <v/>
      </c>
      <c r="AO48" s="41" t="str">
        <f>+_xlfn.XLOOKUP($C48,$C$72:$C$105,AO$72:AO$105,"")</f>
        <v/>
      </c>
      <c r="AP48" s="41" t="str">
        <f>+_xlfn.XLOOKUP($C48,$C$72:$C$105,AP$72:AP$105,"")</f>
        <v/>
      </c>
      <c r="AQ48" s="41" t="str">
        <f>+_xlfn.XLOOKUP($C48,$C$72:$C$105,AQ$72:AQ$105,"")</f>
        <v/>
      </c>
      <c r="AR48" s="41" t="str">
        <f>+_xlfn.XLOOKUP($C48,$C$72:$C$105,AR$72:AR$105,"")</f>
        <v/>
      </c>
      <c r="AS48" s="41" t="str">
        <f>+_xlfn.XLOOKUP($C48,$C$72:$C$105,AS$72:AS$105,"")</f>
        <v/>
      </c>
      <c r="AT48" s="41" t="str">
        <f>+_xlfn.XLOOKUP($C48,$C$72:$C$105,AT$72:AT$105,"")</f>
        <v/>
      </c>
      <c r="AU48" s="41" t="str">
        <f>+_xlfn.XLOOKUP($C48,$C$72:$C$105,AU$72:AU$105,"")</f>
        <v/>
      </c>
      <c r="AV48" s="41" t="str">
        <f>+_xlfn.XLOOKUP($C48,$C$72:$C$105,AV$72:AV$105,"")</f>
        <v/>
      </c>
      <c r="AW48" s="41" t="str">
        <f>+_xlfn.XLOOKUP($C48,$C$72:$C$105,AW$72:AW$105,"")</f>
        <v/>
      </c>
      <c r="AX48" s="41" t="str">
        <f>+_xlfn.XLOOKUP($C48,$C$72:$C$105,AX$72:AX$105,"")</f>
        <v/>
      </c>
      <c r="AY48" s="41" t="str">
        <f>+_xlfn.XLOOKUP($C48,$C$72:$C$105,AY$72:AY$105,"")</f>
        <v/>
      </c>
      <c r="AZ48" s="41" t="str">
        <f>+_xlfn.XLOOKUP($C48,$C$72:$C$105,AZ$72:AZ$105,"")</f>
        <v/>
      </c>
      <c r="BA48" s="41" t="str">
        <f>+_xlfn.XLOOKUP($C48,$C$72:$C$105,BA$72:BA$105,"")</f>
        <v/>
      </c>
      <c r="BB48" s="41" t="str">
        <f>+_xlfn.XLOOKUP($C48,$C$72:$C$105,BB$72:BB$105,"")</f>
        <v/>
      </c>
      <c r="BC48" s="41" t="str">
        <f>+_xlfn.XLOOKUP($C48,$C$72:$C$105,BC$72:BC$105,"")</f>
        <v/>
      </c>
      <c r="BD48" s="41">
        <f>+_xlfn.XLOOKUP($C48,$C$72:$C$105,BD$72:BD$105,"")</f>
        <v>-40</v>
      </c>
      <c r="BE48" s="41" t="str">
        <f>+_xlfn.XLOOKUP($C48,$C$72:$C$105,BE$72:BE$105,"")</f>
        <v/>
      </c>
      <c r="BF48" s="41" t="str">
        <f>+_xlfn.XLOOKUP($C48,$C$72:$C$105,BF$72:BF$105,"")</f>
        <v/>
      </c>
      <c r="BG48" s="41" t="str">
        <f>+_xlfn.XLOOKUP($C48,$C$72:$C$105,BG$72:BG$105,"")</f>
        <v/>
      </c>
      <c r="BH48" s="41" t="str">
        <f>+_xlfn.XLOOKUP($C48,$C$72:$C$105,BH$72:BH$105,"")</f>
        <v/>
      </c>
      <c r="BI48" s="41" t="str">
        <f>+_xlfn.XLOOKUP($C48,$C$72:$C$105,BI$72:BI$105,"")</f>
        <v/>
      </c>
      <c r="BJ48" s="41" t="str">
        <f>+_xlfn.XLOOKUP($C48,$C$72:$C$105,BJ$72:BJ$105,"")</f>
        <v/>
      </c>
      <c r="BK48" s="41" t="str">
        <f>+_xlfn.XLOOKUP($C48,$C$72:$C$105,BK$72:BK$105,"")</f>
        <v/>
      </c>
      <c r="BL48" s="41" t="str">
        <f>+_xlfn.XLOOKUP($C48,$C$72:$C$105,BL$72:BL$105,"")</f>
        <v/>
      </c>
      <c r="BM48" s="41" t="str">
        <f>+_xlfn.XLOOKUP($C48,$C$72:$C$105,BM$72:BM$105,"")</f>
        <v/>
      </c>
      <c r="BN48" s="41" t="str">
        <f>+_xlfn.XLOOKUP($C48,$C$72:$C$105,BN$72:BN$105,"")</f>
        <v/>
      </c>
      <c r="BO48" s="41" t="str">
        <f>+_xlfn.XLOOKUP($C48,$C$72:$C$105,BO$72:BO$105,"")</f>
        <v/>
      </c>
      <c r="BP48" s="41" t="str">
        <f>+_xlfn.XLOOKUP($C48,$C$72:$C$105,BP$72:BP$105,"")</f>
        <v/>
      </c>
      <c r="BQ48" s="41" t="str">
        <f>+_xlfn.XLOOKUP($C48,$C$72:$C$105,BQ$72:BQ$105,"")</f>
        <v/>
      </c>
      <c r="BR48" s="41" t="str">
        <f>+_xlfn.XLOOKUP($C48,$C$72:$C$105,BR$72:BR$105,"")</f>
        <v/>
      </c>
      <c r="BS48" s="41" t="str">
        <f>+_xlfn.XLOOKUP($C48,$C$72:$C$105,BS$72:BS$105,"")</f>
        <v/>
      </c>
      <c r="BT48" s="41" t="str">
        <f>+_xlfn.XLOOKUP($C48,$C$72:$C$105,BT$72:BT$105,"")</f>
        <v/>
      </c>
      <c r="BU48" s="41" t="str">
        <f>+_xlfn.XLOOKUP($C48,$C$72:$C$105,BU$72:BU$105,"")</f>
        <v/>
      </c>
      <c r="BV48" s="41" t="str">
        <f>+_xlfn.XLOOKUP($C48,$C$72:$C$105,BV$72:BV$105,"")</f>
        <v/>
      </c>
      <c r="BW48" s="41" t="str">
        <f>+_xlfn.XLOOKUP($C48,$C$72:$C$105,BW$72:BW$105,"")</f>
        <v/>
      </c>
      <c r="BX48" s="41" t="str">
        <f>+_xlfn.XLOOKUP($C48,$C$72:$C$105,BX$72:BX$105,"")</f>
        <v/>
      </c>
      <c r="BY48" s="41" t="str">
        <f>+_xlfn.XLOOKUP($C48,$C$72:$C$105,BY$72:BY$105,"")</f>
        <v/>
      </c>
      <c r="BZ48" s="41" t="str">
        <f>+_xlfn.XLOOKUP($C48,$C$72:$C$105,BZ$72:BZ$105,"")</f>
        <v/>
      </c>
      <c r="CA48" s="41" t="str">
        <f>+_xlfn.XLOOKUP($C48,$C$72:$C$105,CA$72:CA$105,"")</f>
        <v/>
      </c>
      <c r="CB48" s="41" t="str">
        <f>+_xlfn.XLOOKUP($C48,$C$72:$C$105,CB$72:CB$105,"")</f>
        <v/>
      </c>
      <c r="CC48" s="41" t="str">
        <f>+_xlfn.XLOOKUP($C48,$C$72:$C$105,CC$72:CC$105,"")</f>
        <v/>
      </c>
      <c r="CD48" s="41" t="str">
        <f>+_xlfn.XLOOKUP($C48,$C$72:$C$105,CD$72:CD$105,"")</f>
        <v/>
      </c>
      <c r="CE48" s="41" t="str">
        <f>+_xlfn.XLOOKUP($C48,$C$72:$C$105,CE$72:CE$105,"")</f>
        <v/>
      </c>
      <c r="CF48" s="41" t="str">
        <f>+_xlfn.XLOOKUP($C48,$C$72:$C$105,CF$72:CF$105,"")</f>
        <v/>
      </c>
      <c r="CG48" s="41" t="str">
        <f>+_xlfn.XLOOKUP($C48,$C$72:$C$105,CG$72:CG$105,"")</f>
        <v/>
      </c>
      <c r="CH48" s="41" t="str">
        <f>+_xlfn.XLOOKUP($C48,$C$72:$C$105,CH$72:CH$105,"")</f>
        <v/>
      </c>
      <c r="CI48" s="41" t="str">
        <f>+_xlfn.XLOOKUP($C48,$C$72:$C$105,CI$72:CI$105,"")</f>
        <v/>
      </c>
      <c r="CJ48" s="41" t="str">
        <f>+_xlfn.XLOOKUP($C48,$C$72:$C$105,CJ$72:CJ$105,"")</f>
        <v/>
      </c>
      <c r="CK48" s="41" t="str">
        <f>+_xlfn.XLOOKUP($C48,$C$72:$C$105,CK$72:CK$105,"")</f>
        <v/>
      </c>
      <c r="CL48" s="41" t="str">
        <f>+_xlfn.XLOOKUP($C48,$C$72:$C$105,CL$72:CL$105,"")</f>
        <v/>
      </c>
      <c r="CM48" s="41" t="str">
        <f>+_xlfn.XLOOKUP($C48,$C$72:$C$105,CM$72:CM$105,"")</f>
        <v/>
      </c>
      <c r="CN48" s="41" t="str">
        <f>+_xlfn.XLOOKUP($C48,$C$72:$C$105,CN$72:CN$105,"")</f>
        <v/>
      </c>
      <c r="CO48" s="42"/>
      <c r="CP48" s="29">
        <f>+_xlfn.XLOOKUP($C48,$C$72:$C$105,CP$72:CP$105,"")</f>
        <v>-40</v>
      </c>
      <c r="CQ48" s="41"/>
      <c r="CR48" s="30">
        <f>+_xlfn.XLOOKUP($C48,$C$72:$C$105,CR$72:CR$105,"")</f>
        <v>-1</v>
      </c>
      <c r="CS48" s="31">
        <f>+_xlfn.XLOOKUP($C48,$C$72:$C$105,CS$72:CS$105,"")</f>
        <v>1</v>
      </c>
      <c r="CT48" s="31">
        <f>+_xlfn.XLOOKUP($C48,$C$72:$C$105,CT$72:CT$105,"")</f>
        <v>0</v>
      </c>
      <c r="CU48" s="30">
        <f>+_xlfn.XLOOKUP($C48,$C$72:$C$105,CU$72:CU$105,"")</f>
        <v>0</v>
      </c>
      <c r="CV48" s="30">
        <f>+_xlfn.XLOOKUP($C48,$C$72:$C$105,CV$72:CV$105,"")</f>
        <v>0</v>
      </c>
      <c r="CW48" s="30">
        <f>+_xlfn.XLOOKUP($C48,$C$72:$C$105,CW$72:CW$105,"")</f>
        <v>0.22222222222222221</v>
      </c>
      <c r="CX48" s="32">
        <f>+_xlfn.XLOOKUP($C48,$C$72:$C$105,CX$72:CX$105,"")</f>
        <v>-40</v>
      </c>
    </row>
    <row r="49" spans="2:102" ht="12.75" customHeight="1" x14ac:dyDescent="0.2">
      <c r="B49" s="83">
        <f t="shared" si="94"/>
        <v>22</v>
      </c>
      <c r="C49" s="33" t="str">
        <v>Tresor Banzuzi</v>
      </c>
      <c r="D49" s="34" t="str">
        <f>+_xlfn.XLOOKUP($C49,$C$72:$C$105,D$72:D$105,"")</f>
        <v/>
      </c>
      <c r="E49" s="34" t="str">
        <f>+_xlfn.XLOOKUP($C49,$C$72:$C$105,E$72:E$105,"")</f>
        <v/>
      </c>
      <c r="F49" s="34" t="str">
        <f>+_xlfn.XLOOKUP($C49,$C$72:$C$105,F$72:F$105,"")</f>
        <v/>
      </c>
      <c r="G49" s="34" t="str">
        <f>+_xlfn.XLOOKUP($C49,$C$72:$C$105,G$72:G$105,"")</f>
        <v/>
      </c>
      <c r="H49" s="34" t="str">
        <f>+_xlfn.XLOOKUP($C49,$C$72:$C$105,H$72:H$105,"")</f>
        <v/>
      </c>
      <c r="I49" s="34" t="str">
        <f>+_xlfn.XLOOKUP($C49,$C$72:$C$105,I$72:I$105,"")</f>
        <v/>
      </c>
      <c r="J49" s="34" t="str">
        <f>+_xlfn.XLOOKUP($C49,$C$72:$C$105,J$72:J$105,"")</f>
        <v/>
      </c>
      <c r="K49" s="34" t="str">
        <f>+_xlfn.XLOOKUP($C49,$C$72:$C$105,K$72:K$105,"")</f>
        <v/>
      </c>
      <c r="L49" s="34" t="str">
        <f>+_xlfn.XLOOKUP($C49,$C$72:$C$105,L$72:L$105,"")</f>
        <v/>
      </c>
      <c r="M49" s="34" t="str">
        <f>+_xlfn.XLOOKUP($C49,$C$72:$C$105,M$72:M$105,"")</f>
        <v/>
      </c>
      <c r="N49" s="34" t="str">
        <f>+_xlfn.XLOOKUP($C49,$C$72:$C$105,N$72:N$105,"")</f>
        <v/>
      </c>
      <c r="O49" s="34" t="str">
        <f>+_xlfn.XLOOKUP($C49,$C$72:$C$105,O$72:O$105,"")</f>
        <v/>
      </c>
      <c r="P49" s="34" t="str">
        <f>+_xlfn.XLOOKUP($C49,$C$72:$C$105,P$72:P$105,"")</f>
        <v/>
      </c>
      <c r="Q49" s="34" t="str">
        <f>+_xlfn.XLOOKUP($C49,$C$72:$C$105,Q$72:Q$105,"")</f>
        <v/>
      </c>
      <c r="R49" s="34" t="str">
        <f>+_xlfn.XLOOKUP($C49,$C$72:$C$105,R$72:R$105,"")</f>
        <v/>
      </c>
      <c r="S49" s="34" t="str">
        <f>+_xlfn.XLOOKUP($C49,$C$72:$C$105,S$72:S$105,"")</f>
        <v/>
      </c>
      <c r="T49" s="34" t="str">
        <f>+_xlfn.XLOOKUP($C49,$C$72:$C$105,T$72:T$105,"")</f>
        <v/>
      </c>
      <c r="U49" s="34" t="str">
        <f>+_xlfn.XLOOKUP($C49,$C$72:$C$105,U$72:U$105,"")</f>
        <v/>
      </c>
      <c r="V49" s="34" t="str">
        <f>+_xlfn.XLOOKUP($C49,$C$72:$C$105,V$72:V$105,"")</f>
        <v/>
      </c>
      <c r="W49" s="34" t="str">
        <f>+_xlfn.XLOOKUP($C49,$C$72:$C$105,W$72:W$105,"")</f>
        <v/>
      </c>
      <c r="X49" s="34" t="str">
        <f>+_xlfn.XLOOKUP($C49,$C$72:$C$105,X$72:X$105,"")</f>
        <v/>
      </c>
      <c r="Y49" s="34" t="str">
        <f>+_xlfn.XLOOKUP($C49,$C$72:$C$105,Y$72:Y$105,"")</f>
        <v/>
      </c>
      <c r="Z49" s="34" t="str">
        <f>+_xlfn.XLOOKUP($C49,$C$72:$C$105,Z$72:Z$105,"")</f>
        <v/>
      </c>
      <c r="AA49" s="34" t="str">
        <f>+_xlfn.XLOOKUP($C49,$C$72:$C$105,AA$72:AA$105,"")</f>
        <v/>
      </c>
      <c r="AB49" s="34" t="str">
        <f>+_xlfn.XLOOKUP($C49,$C$72:$C$105,AB$72:AB$105,"")</f>
        <v/>
      </c>
      <c r="AC49" s="34" t="str">
        <f>+_xlfn.XLOOKUP($C49,$C$72:$C$105,AC$72:AC$105,"")</f>
        <v/>
      </c>
      <c r="AD49" s="34" t="str">
        <f>+_xlfn.XLOOKUP($C49,$C$72:$C$105,AD$72:AD$105,"")</f>
        <v/>
      </c>
      <c r="AE49" s="34" t="str">
        <f>+_xlfn.XLOOKUP($C49,$C$72:$C$105,AE$72:AE$105,"")</f>
        <v/>
      </c>
      <c r="AF49" s="34" t="str">
        <f>+_xlfn.XLOOKUP($C49,$C$72:$C$105,AF$72:AF$105,"")</f>
        <v/>
      </c>
      <c r="AG49" s="34" t="str">
        <f>+_xlfn.XLOOKUP($C49,$C$72:$C$105,AG$72:AG$105,"")</f>
        <v/>
      </c>
      <c r="AH49" s="34" t="str">
        <f>+_xlfn.XLOOKUP($C49,$C$72:$C$105,AH$72:AH$105,"")</f>
        <v/>
      </c>
      <c r="AI49" s="34" t="str">
        <f>+_xlfn.XLOOKUP($C49,$C$72:$C$105,AI$72:AI$105,"")</f>
        <v/>
      </c>
      <c r="AJ49" s="34" t="str">
        <f>+_xlfn.XLOOKUP($C49,$C$72:$C$105,AJ$72:AJ$105,"")</f>
        <v/>
      </c>
      <c r="AK49" s="34" t="str">
        <f>+_xlfn.XLOOKUP($C49,$C$72:$C$105,AK$72:AK$105,"")</f>
        <v/>
      </c>
      <c r="AL49" s="34" t="str">
        <f>+_xlfn.XLOOKUP($C49,$C$72:$C$105,AL$72:AL$105,"")</f>
        <v/>
      </c>
      <c r="AM49" s="34" t="str">
        <f>+_xlfn.XLOOKUP($C49,$C$72:$C$105,AM$72:AM$105,"")</f>
        <v/>
      </c>
      <c r="AN49" s="34" t="str">
        <f>+_xlfn.XLOOKUP($C49,$C$72:$C$105,AN$72:AN$105,"")</f>
        <v/>
      </c>
      <c r="AO49" s="34" t="str">
        <f>+_xlfn.XLOOKUP($C49,$C$72:$C$105,AO$72:AO$105,"")</f>
        <v/>
      </c>
      <c r="AP49" s="34" t="str">
        <f>+_xlfn.XLOOKUP($C49,$C$72:$C$105,AP$72:AP$105,"")</f>
        <v/>
      </c>
      <c r="AQ49" s="34" t="str">
        <f>+_xlfn.XLOOKUP($C49,$C$72:$C$105,AQ$72:AQ$105,"")</f>
        <v/>
      </c>
      <c r="AR49" s="34" t="str">
        <f>+_xlfn.XLOOKUP($C49,$C$72:$C$105,AR$72:AR$105,"")</f>
        <v/>
      </c>
      <c r="AS49" s="34" t="str">
        <f>+_xlfn.XLOOKUP($C49,$C$72:$C$105,AS$72:AS$105,"")</f>
        <v/>
      </c>
      <c r="AT49" s="34" t="str">
        <f>+_xlfn.XLOOKUP($C49,$C$72:$C$105,AT$72:AT$105,"")</f>
        <v/>
      </c>
      <c r="AU49" s="34" t="str">
        <f>+_xlfn.XLOOKUP($C49,$C$72:$C$105,AU$72:AU$105,"")</f>
        <v/>
      </c>
      <c r="AV49" s="34" t="str">
        <f>+_xlfn.XLOOKUP($C49,$C$72:$C$105,AV$72:AV$105,"")</f>
        <v/>
      </c>
      <c r="AW49" s="34" t="str">
        <f>+_xlfn.XLOOKUP($C49,$C$72:$C$105,AW$72:AW$105,"")</f>
        <v/>
      </c>
      <c r="AX49" s="34" t="str">
        <f>+_xlfn.XLOOKUP($C49,$C$72:$C$105,AX$72:AX$105,"")</f>
        <v/>
      </c>
      <c r="AY49" s="34" t="str">
        <f>+_xlfn.XLOOKUP($C49,$C$72:$C$105,AY$72:AY$105,"")</f>
        <v/>
      </c>
      <c r="AZ49" s="34" t="str">
        <f>+_xlfn.XLOOKUP($C49,$C$72:$C$105,AZ$72:AZ$105,"")</f>
        <v/>
      </c>
      <c r="BA49" s="34" t="str">
        <f>+_xlfn.XLOOKUP($C49,$C$72:$C$105,BA$72:BA$105,"")</f>
        <v/>
      </c>
      <c r="BB49" s="34" t="str">
        <f>+_xlfn.XLOOKUP($C49,$C$72:$C$105,BB$72:BB$105,"")</f>
        <v/>
      </c>
      <c r="BC49" s="34" t="str">
        <f>+_xlfn.XLOOKUP($C49,$C$72:$C$105,BC$72:BC$105,"")</f>
        <v/>
      </c>
      <c r="BD49" s="34" t="str">
        <f>+_xlfn.XLOOKUP($C49,$C$72:$C$105,BD$72:BD$105,"")</f>
        <v/>
      </c>
      <c r="BE49" s="34" t="str">
        <f>+_xlfn.XLOOKUP($C49,$C$72:$C$105,BE$72:BE$105,"")</f>
        <v/>
      </c>
      <c r="BF49" s="34" t="str">
        <f>+_xlfn.XLOOKUP($C49,$C$72:$C$105,BF$72:BF$105,"")</f>
        <v/>
      </c>
      <c r="BG49" s="34" t="str">
        <f>+_xlfn.XLOOKUP($C49,$C$72:$C$105,BG$72:BG$105,"")</f>
        <v/>
      </c>
      <c r="BH49" s="34" t="str">
        <f>+_xlfn.XLOOKUP($C49,$C$72:$C$105,BH$72:BH$105,"")</f>
        <v/>
      </c>
      <c r="BI49" s="34">
        <f>+_xlfn.XLOOKUP($C49,$C$72:$C$105,BI$72:BI$105,"")</f>
        <v>-20</v>
      </c>
      <c r="BJ49" s="34" t="str">
        <f>+_xlfn.XLOOKUP($C49,$C$72:$C$105,BJ$72:BJ$105,"")</f>
        <v/>
      </c>
      <c r="BK49" s="34" t="str">
        <f>+_xlfn.XLOOKUP($C49,$C$72:$C$105,BK$72:BK$105,"")</f>
        <v/>
      </c>
      <c r="BL49" s="34" t="str">
        <f>+_xlfn.XLOOKUP($C49,$C$72:$C$105,BL$72:BL$105,"")</f>
        <v/>
      </c>
      <c r="BM49" s="34" t="str">
        <f>+_xlfn.XLOOKUP($C49,$C$72:$C$105,BM$72:BM$105,"")</f>
        <v/>
      </c>
      <c r="BN49" s="34" t="str">
        <f>+_xlfn.XLOOKUP($C49,$C$72:$C$105,BN$72:BN$105,"")</f>
        <v/>
      </c>
      <c r="BO49" s="34" t="str">
        <f>+_xlfn.XLOOKUP($C49,$C$72:$C$105,BO$72:BO$105,"")</f>
        <v/>
      </c>
      <c r="BP49" s="34" t="str">
        <f>+_xlfn.XLOOKUP($C49,$C$72:$C$105,BP$72:BP$105,"")</f>
        <v/>
      </c>
      <c r="BQ49" s="34" t="str">
        <f>+_xlfn.XLOOKUP($C49,$C$72:$C$105,BQ$72:BQ$105,"")</f>
        <v/>
      </c>
      <c r="BR49" s="34" t="str">
        <f>+_xlfn.XLOOKUP($C49,$C$72:$C$105,BR$72:BR$105,"")</f>
        <v/>
      </c>
      <c r="BS49" s="34" t="str">
        <f>+_xlfn.XLOOKUP($C49,$C$72:$C$105,BS$72:BS$105,"")</f>
        <v/>
      </c>
      <c r="BT49" s="34" t="str">
        <f>+_xlfn.XLOOKUP($C49,$C$72:$C$105,BT$72:BT$105,"")</f>
        <v/>
      </c>
      <c r="BU49" s="34" t="str">
        <f>+_xlfn.XLOOKUP($C49,$C$72:$C$105,BU$72:BU$105,"")</f>
        <v/>
      </c>
      <c r="BV49" s="34" t="str">
        <f>+_xlfn.XLOOKUP($C49,$C$72:$C$105,BV$72:BV$105,"")</f>
        <v/>
      </c>
      <c r="BW49" s="34" t="str">
        <f>+_xlfn.XLOOKUP($C49,$C$72:$C$105,BW$72:BW$105,"")</f>
        <v/>
      </c>
      <c r="BX49" s="34" t="str">
        <f>+_xlfn.XLOOKUP($C49,$C$72:$C$105,BX$72:BX$105,"")</f>
        <v/>
      </c>
      <c r="BY49" s="34" t="str">
        <f>+_xlfn.XLOOKUP($C49,$C$72:$C$105,BY$72:BY$105,"")</f>
        <v/>
      </c>
      <c r="BZ49" s="34" t="str">
        <f>+_xlfn.XLOOKUP($C49,$C$72:$C$105,BZ$72:BZ$105,"")</f>
        <v/>
      </c>
      <c r="CA49" s="34" t="str">
        <f>+_xlfn.XLOOKUP($C49,$C$72:$C$105,CA$72:CA$105,"")</f>
        <v/>
      </c>
      <c r="CB49" s="34" t="str">
        <f>+_xlfn.XLOOKUP($C49,$C$72:$C$105,CB$72:CB$105,"")</f>
        <v/>
      </c>
      <c r="CC49" s="34" t="str">
        <f>+_xlfn.XLOOKUP($C49,$C$72:$C$105,CC$72:CC$105,"")</f>
        <v/>
      </c>
      <c r="CD49" s="34" t="str">
        <f>+_xlfn.XLOOKUP($C49,$C$72:$C$105,CD$72:CD$105,"")</f>
        <v/>
      </c>
      <c r="CE49" s="34" t="str">
        <f>+_xlfn.XLOOKUP($C49,$C$72:$C$105,CE$72:CE$105,"")</f>
        <v/>
      </c>
      <c r="CF49" s="34" t="str">
        <f>+_xlfn.XLOOKUP($C49,$C$72:$C$105,CF$72:CF$105,"")</f>
        <v/>
      </c>
      <c r="CG49" s="34" t="str">
        <f>+_xlfn.XLOOKUP($C49,$C$72:$C$105,CG$72:CG$105,"")</f>
        <v/>
      </c>
      <c r="CH49" s="34" t="str">
        <f>+_xlfn.XLOOKUP($C49,$C$72:$C$105,CH$72:CH$105,"")</f>
        <v/>
      </c>
      <c r="CI49" s="34" t="str">
        <f>+_xlfn.XLOOKUP($C49,$C$72:$C$105,CI$72:CI$105,"")</f>
        <v/>
      </c>
      <c r="CJ49" s="34">
        <f>+_xlfn.XLOOKUP($C49,$C$72:$C$105,CJ$72:CJ$105,"")</f>
        <v>-20</v>
      </c>
      <c r="CK49" s="34" t="str">
        <f>+_xlfn.XLOOKUP($C49,$C$72:$C$105,CK$72:CK$105,"")</f>
        <v/>
      </c>
      <c r="CL49" s="34" t="str">
        <f>+_xlfn.XLOOKUP($C49,$C$72:$C$105,CL$72:CL$105,"")</f>
        <v/>
      </c>
      <c r="CM49" s="34" t="str">
        <f>+_xlfn.XLOOKUP($C49,$C$72:$C$105,CM$72:CM$105,"")</f>
        <v/>
      </c>
      <c r="CN49" s="34" t="str">
        <f>+_xlfn.XLOOKUP($C49,$C$72:$C$105,CN$72:CN$105,"")</f>
        <v/>
      </c>
      <c r="CO49" s="35"/>
      <c r="CP49" s="36">
        <f>+_xlfn.XLOOKUP($C49,$C$72:$C$105,CP$72:CP$105,"")</f>
        <v>-40</v>
      </c>
      <c r="CQ49" s="34"/>
      <c r="CR49" s="37">
        <f>+_xlfn.XLOOKUP($C49,$C$72:$C$105,CR$72:CR$105,"")</f>
        <v>-1</v>
      </c>
      <c r="CS49" s="38">
        <f>+_xlfn.XLOOKUP($C49,$C$72:$C$105,CS$72:CS$105,"")</f>
        <v>2</v>
      </c>
      <c r="CT49" s="38">
        <f>+_xlfn.XLOOKUP($C49,$C$72:$C$105,CT$72:CT$105,"")</f>
        <v>0</v>
      </c>
      <c r="CU49" s="37">
        <f>+_xlfn.XLOOKUP($C49,$C$72:$C$105,CU$72:CU$105,"")</f>
        <v>0</v>
      </c>
      <c r="CV49" s="37">
        <f>+_xlfn.XLOOKUP($C49,$C$72:$C$105,CV$72:CV$105,"")</f>
        <v>0</v>
      </c>
      <c r="CW49" s="37">
        <f>+_xlfn.XLOOKUP($C49,$C$72:$C$105,CW$72:CW$105,"")</f>
        <v>0.2</v>
      </c>
      <c r="CX49" s="39">
        <f>+_xlfn.XLOOKUP($C49,$C$72:$C$105,CX$72:CX$105,"")</f>
        <v>-20</v>
      </c>
    </row>
    <row r="50" spans="2:102" ht="12.75" customHeight="1" x14ac:dyDescent="0.2">
      <c r="B50" s="84">
        <f t="shared" si="94"/>
        <v>23</v>
      </c>
      <c r="C50" s="40" t="str">
        <v>Eetu Kauppinen</v>
      </c>
      <c r="D50" s="41" t="str">
        <f>+_xlfn.XLOOKUP($C50,$C$72:$C$105,D$72:D$105,"")</f>
        <v/>
      </c>
      <c r="E50" s="41" t="str">
        <f>+_xlfn.XLOOKUP($C50,$C$72:$C$105,E$72:E$105,"")</f>
        <v/>
      </c>
      <c r="F50" s="41" t="str">
        <f>+_xlfn.XLOOKUP($C50,$C$72:$C$105,F$72:F$105,"")</f>
        <v/>
      </c>
      <c r="G50" s="41" t="str">
        <f>+_xlfn.XLOOKUP($C50,$C$72:$C$105,G$72:G$105,"")</f>
        <v/>
      </c>
      <c r="H50" s="41" t="str">
        <f>+_xlfn.XLOOKUP($C50,$C$72:$C$105,H$72:H$105,"")</f>
        <v/>
      </c>
      <c r="I50" s="41" t="str">
        <f>+_xlfn.XLOOKUP($C50,$C$72:$C$105,I$72:I$105,"")</f>
        <v/>
      </c>
      <c r="J50" s="41" t="str">
        <f>+_xlfn.XLOOKUP($C50,$C$72:$C$105,J$72:J$105,"")</f>
        <v/>
      </c>
      <c r="K50" s="41" t="str">
        <f>+_xlfn.XLOOKUP($C50,$C$72:$C$105,K$72:K$105,"")</f>
        <v/>
      </c>
      <c r="L50" s="41" t="str">
        <f>+_xlfn.XLOOKUP($C50,$C$72:$C$105,L$72:L$105,"")</f>
        <v/>
      </c>
      <c r="M50" s="41" t="str">
        <f>+_xlfn.XLOOKUP($C50,$C$72:$C$105,M$72:M$105,"")</f>
        <v/>
      </c>
      <c r="N50" s="41" t="str">
        <f>+_xlfn.XLOOKUP($C50,$C$72:$C$105,N$72:N$105,"")</f>
        <v/>
      </c>
      <c r="O50" s="41" t="str">
        <f>+_xlfn.XLOOKUP($C50,$C$72:$C$105,O$72:O$105,"")</f>
        <v/>
      </c>
      <c r="P50" s="41" t="str">
        <f>+_xlfn.XLOOKUP($C50,$C$72:$C$105,P$72:P$105,"")</f>
        <v/>
      </c>
      <c r="Q50" s="41" t="str">
        <f>+_xlfn.XLOOKUP($C50,$C$72:$C$105,Q$72:Q$105,"")</f>
        <v/>
      </c>
      <c r="R50" s="41" t="str">
        <f>+_xlfn.XLOOKUP($C50,$C$72:$C$105,R$72:R$105,"")</f>
        <v/>
      </c>
      <c r="S50" s="41" t="str">
        <f>+_xlfn.XLOOKUP($C50,$C$72:$C$105,S$72:S$105,"")</f>
        <v/>
      </c>
      <c r="T50" s="41" t="str">
        <f>+_xlfn.XLOOKUP($C50,$C$72:$C$105,T$72:T$105,"")</f>
        <v/>
      </c>
      <c r="U50" s="41" t="str">
        <f>+_xlfn.XLOOKUP($C50,$C$72:$C$105,U$72:U$105,"")</f>
        <v/>
      </c>
      <c r="V50" s="41" t="str">
        <f>+_xlfn.XLOOKUP($C50,$C$72:$C$105,V$72:V$105,"")</f>
        <v/>
      </c>
      <c r="W50" s="41" t="str">
        <f>+_xlfn.XLOOKUP($C50,$C$72:$C$105,W$72:W$105,"")</f>
        <v/>
      </c>
      <c r="X50" s="41" t="str">
        <f>+_xlfn.XLOOKUP($C50,$C$72:$C$105,X$72:X$105,"")</f>
        <v/>
      </c>
      <c r="Y50" s="41" t="str">
        <f>+_xlfn.XLOOKUP($C50,$C$72:$C$105,Y$72:Y$105,"")</f>
        <v/>
      </c>
      <c r="Z50" s="41" t="str">
        <f>+_xlfn.XLOOKUP($C50,$C$72:$C$105,Z$72:Z$105,"")</f>
        <v/>
      </c>
      <c r="AA50" s="41" t="str">
        <f>+_xlfn.XLOOKUP($C50,$C$72:$C$105,AA$72:AA$105,"")</f>
        <v/>
      </c>
      <c r="AB50" s="41" t="str">
        <f>+_xlfn.XLOOKUP($C50,$C$72:$C$105,AB$72:AB$105,"")</f>
        <v/>
      </c>
      <c r="AC50" s="41" t="str">
        <f>+_xlfn.XLOOKUP($C50,$C$72:$C$105,AC$72:AC$105,"")</f>
        <v/>
      </c>
      <c r="AD50" s="41" t="str">
        <f>+_xlfn.XLOOKUP($C50,$C$72:$C$105,AD$72:AD$105,"")</f>
        <v/>
      </c>
      <c r="AE50" s="41" t="str">
        <f>+_xlfn.XLOOKUP($C50,$C$72:$C$105,AE$72:AE$105,"")</f>
        <v/>
      </c>
      <c r="AF50" s="41" t="str">
        <f>+_xlfn.XLOOKUP($C50,$C$72:$C$105,AF$72:AF$105,"")</f>
        <v/>
      </c>
      <c r="AG50" s="41" t="str">
        <f>+_xlfn.XLOOKUP($C50,$C$72:$C$105,AG$72:AG$105,"")</f>
        <v/>
      </c>
      <c r="AH50" s="41" t="str">
        <f>+_xlfn.XLOOKUP($C50,$C$72:$C$105,AH$72:AH$105,"")</f>
        <v/>
      </c>
      <c r="AI50" s="41" t="str">
        <f>+_xlfn.XLOOKUP($C50,$C$72:$C$105,AI$72:AI$105,"")</f>
        <v/>
      </c>
      <c r="AJ50" s="41" t="str">
        <f>+_xlfn.XLOOKUP($C50,$C$72:$C$105,AJ$72:AJ$105,"")</f>
        <v/>
      </c>
      <c r="AK50" s="41" t="str">
        <f>+_xlfn.XLOOKUP($C50,$C$72:$C$105,AK$72:AK$105,"")</f>
        <v/>
      </c>
      <c r="AL50" s="41" t="str">
        <f>+_xlfn.XLOOKUP($C50,$C$72:$C$105,AL$72:AL$105,"")</f>
        <v/>
      </c>
      <c r="AM50" s="41" t="str">
        <f>+_xlfn.XLOOKUP($C50,$C$72:$C$105,AM$72:AM$105,"")</f>
        <v/>
      </c>
      <c r="AN50" s="41" t="str">
        <f>+_xlfn.XLOOKUP($C50,$C$72:$C$105,AN$72:AN$105,"")</f>
        <v/>
      </c>
      <c r="AO50" s="41" t="str">
        <f>+_xlfn.XLOOKUP($C50,$C$72:$C$105,AO$72:AO$105,"")</f>
        <v/>
      </c>
      <c r="AP50" s="41" t="str">
        <f>+_xlfn.XLOOKUP($C50,$C$72:$C$105,AP$72:AP$105,"")</f>
        <v/>
      </c>
      <c r="AQ50" s="41" t="str">
        <f>+_xlfn.XLOOKUP($C50,$C$72:$C$105,AQ$72:AQ$105,"")</f>
        <v/>
      </c>
      <c r="AR50" s="41" t="str">
        <f>+_xlfn.XLOOKUP($C50,$C$72:$C$105,AR$72:AR$105,"")</f>
        <v/>
      </c>
      <c r="AS50" s="41" t="str">
        <f>+_xlfn.XLOOKUP($C50,$C$72:$C$105,AS$72:AS$105,"")</f>
        <v/>
      </c>
      <c r="AT50" s="41" t="str">
        <f>+_xlfn.XLOOKUP($C50,$C$72:$C$105,AT$72:AT$105,"")</f>
        <v/>
      </c>
      <c r="AU50" s="41" t="str">
        <f>+_xlfn.XLOOKUP($C50,$C$72:$C$105,AU$72:AU$105,"")</f>
        <v/>
      </c>
      <c r="AV50" s="41" t="str">
        <f>+_xlfn.XLOOKUP($C50,$C$72:$C$105,AV$72:AV$105,"")</f>
        <v/>
      </c>
      <c r="AW50" s="41" t="str">
        <f>+_xlfn.XLOOKUP($C50,$C$72:$C$105,AW$72:AW$105,"")</f>
        <v/>
      </c>
      <c r="AX50" s="41" t="str">
        <f>+_xlfn.XLOOKUP($C50,$C$72:$C$105,AX$72:AX$105,"")</f>
        <v/>
      </c>
      <c r="AY50" s="41" t="str">
        <f>+_xlfn.XLOOKUP($C50,$C$72:$C$105,AY$72:AY$105,"")</f>
        <v/>
      </c>
      <c r="AZ50" s="41">
        <f>+_xlfn.XLOOKUP($C50,$C$72:$C$105,AZ$72:AZ$105,"")</f>
        <v>-40</v>
      </c>
      <c r="BA50" s="41" t="str">
        <f>+_xlfn.XLOOKUP($C50,$C$72:$C$105,BA$72:BA$105,"")</f>
        <v/>
      </c>
      <c r="BB50" s="41" t="str">
        <f>+_xlfn.XLOOKUP($C50,$C$72:$C$105,BB$72:BB$105,"")</f>
        <v/>
      </c>
      <c r="BC50" s="41" t="str">
        <f>+_xlfn.XLOOKUP($C50,$C$72:$C$105,BC$72:BC$105,"")</f>
        <v/>
      </c>
      <c r="BD50" s="41">
        <f>+_xlfn.XLOOKUP($C50,$C$72:$C$105,BD$72:BD$105,"")</f>
        <v>-20</v>
      </c>
      <c r="BE50" s="41" t="str">
        <f>+_xlfn.XLOOKUP($C50,$C$72:$C$105,BE$72:BE$105,"")</f>
        <v/>
      </c>
      <c r="BF50" s="41">
        <f>+_xlfn.XLOOKUP($C50,$C$72:$C$105,BF$72:BF$105,"")</f>
        <v>-10</v>
      </c>
      <c r="BG50" s="41">
        <f>+_xlfn.XLOOKUP($C50,$C$72:$C$105,BG$72:BG$105,"")</f>
        <v>60</v>
      </c>
      <c r="BH50" s="41">
        <f>+_xlfn.XLOOKUP($C50,$C$72:$C$105,BH$72:BH$105,"")</f>
        <v>-40</v>
      </c>
      <c r="BI50" s="41" t="str">
        <f>+_xlfn.XLOOKUP($C50,$C$72:$C$105,BI$72:BI$105,"")</f>
        <v/>
      </c>
      <c r="BJ50" s="41" t="str">
        <f>+_xlfn.XLOOKUP($C50,$C$72:$C$105,BJ$72:BJ$105,"")</f>
        <v/>
      </c>
      <c r="BK50" s="41" t="str">
        <f>+_xlfn.XLOOKUP($C50,$C$72:$C$105,BK$72:BK$105,"")</f>
        <v/>
      </c>
      <c r="BL50" s="41">
        <f>+_xlfn.XLOOKUP($C50,$C$72:$C$105,BL$72:BL$105,"")</f>
        <v>-60</v>
      </c>
      <c r="BM50" s="41" t="str">
        <f>+_xlfn.XLOOKUP($C50,$C$72:$C$105,BM$72:BM$105,"")</f>
        <v/>
      </c>
      <c r="BN50" s="41">
        <f>+_xlfn.XLOOKUP($C50,$C$72:$C$105,BN$72:BN$105,"")</f>
        <v>-20</v>
      </c>
      <c r="BO50" s="41" t="str">
        <f>+_xlfn.XLOOKUP($C50,$C$72:$C$105,BO$72:BO$105,"")</f>
        <v/>
      </c>
      <c r="BP50" s="41">
        <f>+_xlfn.XLOOKUP($C50,$C$72:$C$105,BP$72:BP$105,"")</f>
        <v>-40</v>
      </c>
      <c r="BQ50" s="41">
        <f>+_xlfn.XLOOKUP($C50,$C$72:$C$105,BQ$72:BQ$105,"")</f>
        <v>-20</v>
      </c>
      <c r="BR50" s="41" t="str">
        <f>+_xlfn.XLOOKUP($C50,$C$72:$C$105,BR$72:BR$105,"")</f>
        <v/>
      </c>
      <c r="BS50" s="41" t="str">
        <f>+_xlfn.XLOOKUP($C50,$C$72:$C$105,BS$72:BS$105,"")</f>
        <v/>
      </c>
      <c r="BT50" s="41">
        <f>+_xlfn.XLOOKUP($C50,$C$72:$C$105,BT$72:BT$105,"")</f>
        <v>140</v>
      </c>
      <c r="BU50" s="41">
        <f>+_xlfn.XLOOKUP($C50,$C$72:$C$105,BU$72:BU$105,"")</f>
        <v>120</v>
      </c>
      <c r="BV50" s="41" t="str">
        <f>+_xlfn.XLOOKUP($C50,$C$72:$C$105,BV$72:BV$105,"")</f>
        <v/>
      </c>
      <c r="BW50" s="41" t="str">
        <f>+_xlfn.XLOOKUP($C50,$C$72:$C$105,BW$72:BW$105,"")</f>
        <v/>
      </c>
      <c r="BX50" s="41" t="str">
        <f>+_xlfn.XLOOKUP($C50,$C$72:$C$105,BX$72:BX$105,"")</f>
        <v/>
      </c>
      <c r="BY50" s="41" t="str">
        <f>+_xlfn.XLOOKUP($C50,$C$72:$C$105,BY$72:BY$105,"")</f>
        <v/>
      </c>
      <c r="BZ50" s="41" t="str">
        <f>+_xlfn.XLOOKUP($C50,$C$72:$C$105,BZ$72:BZ$105,"")</f>
        <v/>
      </c>
      <c r="CA50" s="41" t="str">
        <f>+_xlfn.XLOOKUP($C50,$C$72:$C$105,CA$72:CA$105,"")</f>
        <v/>
      </c>
      <c r="CB50" s="41" t="str">
        <f>+_xlfn.XLOOKUP($C50,$C$72:$C$105,CB$72:CB$105,"")</f>
        <v/>
      </c>
      <c r="CC50" s="41" t="str">
        <f>+_xlfn.XLOOKUP($C50,$C$72:$C$105,CC$72:CC$105,"")</f>
        <v/>
      </c>
      <c r="CD50" s="41">
        <f>+_xlfn.XLOOKUP($C50,$C$72:$C$105,CD$72:CD$105,"")</f>
        <v>-40</v>
      </c>
      <c r="CE50" s="41" t="str">
        <f>+_xlfn.XLOOKUP($C50,$C$72:$C$105,CE$72:CE$105,"")</f>
        <v/>
      </c>
      <c r="CF50" s="41" t="str">
        <f>+_xlfn.XLOOKUP($C50,$C$72:$C$105,CF$72:CF$105,"")</f>
        <v/>
      </c>
      <c r="CG50" s="41" t="str">
        <f>+_xlfn.XLOOKUP($C50,$C$72:$C$105,CG$72:CG$105,"")</f>
        <v/>
      </c>
      <c r="CH50" s="41" t="str">
        <f>+_xlfn.XLOOKUP($C50,$C$72:$C$105,CH$72:CH$105,"")</f>
        <v/>
      </c>
      <c r="CI50" s="41" t="str">
        <f>+_xlfn.XLOOKUP($C50,$C$72:$C$105,CI$72:CI$105,"")</f>
        <v/>
      </c>
      <c r="CJ50" s="41" t="str">
        <f>+_xlfn.XLOOKUP($C50,$C$72:$C$105,CJ$72:CJ$105,"")</f>
        <v/>
      </c>
      <c r="CK50" s="41" t="str">
        <f>+_xlfn.XLOOKUP($C50,$C$72:$C$105,CK$72:CK$105,"")</f>
        <v/>
      </c>
      <c r="CL50" s="41" t="str">
        <f>+_xlfn.XLOOKUP($C50,$C$72:$C$105,CL$72:CL$105,"")</f>
        <v/>
      </c>
      <c r="CM50" s="41">
        <f>+_xlfn.XLOOKUP($C50,$C$72:$C$105,CM$72:CM$105,"")</f>
        <v>-90</v>
      </c>
      <c r="CN50" s="41" t="str">
        <f>+_xlfn.XLOOKUP($C50,$C$72:$C$105,CN$72:CN$105,"")</f>
        <v/>
      </c>
      <c r="CO50" s="42"/>
      <c r="CP50" s="29">
        <f>+_xlfn.XLOOKUP($C50,$C$72:$C$105,CP$72:CP$105,"")</f>
        <v>-60</v>
      </c>
      <c r="CQ50" s="41"/>
      <c r="CR50" s="30">
        <f>+_xlfn.XLOOKUP($C50,$C$72:$C$105,CR$72:CR$105,"")</f>
        <v>-0.13793103448275867</v>
      </c>
      <c r="CS50" s="31">
        <f>+_xlfn.XLOOKUP($C50,$C$72:$C$105,CS$72:CS$105,"")</f>
        <v>13</v>
      </c>
      <c r="CT50" s="31">
        <f>+_xlfn.XLOOKUP($C50,$C$72:$C$105,CT$72:CT$105,"")</f>
        <v>3</v>
      </c>
      <c r="CU50" s="30">
        <f>+_xlfn.XLOOKUP($C50,$C$72:$C$105,CU$72:CU$105,"")</f>
        <v>0.23076923076923078</v>
      </c>
      <c r="CV50" s="30">
        <f>+_xlfn.XLOOKUP($C50,$C$72:$C$105,CV$72:CV$105,"")</f>
        <v>0.14340344168260039</v>
      </c>
      <c r="CW50" s="30">
        <f>+_xlfn.XLOOKUP($C50,$C$72:$C$105,CW$72:CW$105,"")</f>
        <v>0.16634799235181644</v>
      </c>
      <c r="CX50" s="32">
        <f>+_xlfn.XLOOKUP($C50,$C$72:$C$105,CX$72:CX$105,"")</f>
        <v>-4.615384615384615</v>
      </c>
    </row>
    <row r="51" spans="2:102" ht="12.75" customHeight="1" x14ac:dyDescent="0.2">
      <c r="B51" s="83">
        <f t="shared" si="94"/>
        <v>24</v>
      </c>
      <c r="C51" s="33" t="str">
        <v>Jonis Heikkinen</v>
      </c>
      <c r="D51" s="34" t="str">
        <f>+_xlfn.XLOOKUP($C51,$C$72:$C$105,D$72:D$105,"")</f>
        <v/>
      </c>
      <c r="E51" s="34" t="str">
        <f>+_xlfn.XLOOKUP($C51,$C$72:$C$105,E$72:E$105,"")</f>
        <v/>
      </c>
      <c r="F51" s="34">
        <f>+_xlfn.XLOOKUP($C51,$C$72:$C$105,F$72:F$105,"")</f>
        <v>-10</v>
      </c>
      <c r="G51" s="34" t="str">
        <f>+_xlfn.XLOOKUP($C51,$C$72:$C$105,G$72:G$105,"")</f>
        <v/>
      </c>
      <c r="H51" s="34" t="str">
        <f>+_xlfn.XLOOKUP($C51,$C$72:$C$105,H$72:H$105,"")</f>
        <v/>
      </c>
      <c r="I51" s="34" t="str">
        <f>+_xlfn.XLOOKUP($C51,$C$72:$C$105,I$72:I$105,"")</f>
        <v/>
      </c>
      <c r="J51" s="34" t="str">
        <f>+_xlfn.XLOOKUP($C51,$C$72:$C$105,J$72:J$105,"")</f>
        <v/>
      </c>
      <c r="K51" s="34" t="str">
        <f>+_xlfn.XLOOKUP($C51,$C$72:$C$105,K$72:K$105,"")</f>
        <v/>
      </c>
      <c r="L51" s="34" t="str">
        <f>+_xlfn.XLOOKUP($C51,$C$72:$C$105,L$72:L$105,"")</f>
        <v/>
      </c>
      <c r="M51" s="34">
        <f>+_xlfn.XLOOKUP($C51,$C$72:$C$105,M$72:M$105,"")</f>
        <v>-15</v>
      </c>
      <c r="N51" s="34">
        <f>+_xlfn.XLOOKUP($C51,$C$72:$C$105,N$72:N$105,"")</f>
        <v>-15</v>
      </c>
      <c r="O51" s="34" t="str">
        <f>+_xlfn.XLOOKUP($C51,$C$72:$C$105,O$72:O$105,"")</f>
        <v/>
      </c>
      <c r="P51" s="34" t="str">
        <f>+_xlfn.XLOOKUP($C51,$C$72:$C$105,P$72:P$105,"")</f>
        <v/>
      </c>
      <c r="Q51" s="34" t="str">
        <f>+_xlfn.XLOOKUP($C51,$C$72:$C$105,Q$72:Q$105,"")</f>
        <v/>
      </c>
      <c r="R51" s="34" t="str">
        <f>+_xlfn.XLOOKUP($C51,$C$72:$C$105,R$72:R$105,"")</f>
        <v/>
      </c>
      <c r="S51" s="34" t="str">
        <f>+_xlfn.XLOOKUP($C51,$C$72:$C$105,S$72:S$105,"")</f>
        <v/>
      </c>
      <c r="T51" s="34">
        <f>+_xlfn.XLOOKUP($C51,$C$72:$C$105,T$72:T$105,"")</f>
        <v>0</v>
      </c>
      <c r="U51" s="34" t="str">
        <f>+_xlfn.XLOOKUP($C51,$C$72:$C$105,U$72:U$105,"")</f>
        <v/>
      </c>
      <c r="V51" s="34">
        <f>+_xlfn.XLOOKUP($C51,$C$72:$C$105,V$72:V$105,"")</f>
        <v>-15</v>
      </c>
      <c r="W51" s="34" t="str">
        <f>+_xlfn.XLOOKUP($C51,$C$72:$C$105,W$72:W$105,"")</f>
        <v/>
      </c>
      <c r="X51" s="34">
        <f>+_xlfn.XLOOKUP($C51,$C$72:$C$105,X$72:X$105,"")</f>
        <v>-15</v>
      </c>
      <c r="Y51" s="34">
        <f>+_xlfn.XLOOKUP($C51,$C$72:$C$105,Y$72:Y$105,"")</f>
        <v>-30</v>
      </c>
      <c r="Z51" s="34">
        <f>+_xlfn.XLOOKUP($C51,$C$72:$C$105,Z$72:Z$105,"")</f>
        <v>75</v>
      </c>
      <c r="AA51" s="34" t="str">
        <f>+_xlfn.XLOOKUP($C51,$C$72:$C$105,AA$72:AA$105,"")</f>
        <v/>
      </c>
      <c r="AB51" s="34" t="str">
        <f>+_xlfn.XLOOKUP($C51,$C$72:$C$105,AB$72:AB$105,"")</f>
        <v/>
      </c>
      <c r="AC51" s="34" t="str">
        <f>+_xlfn.XLOOKUP($C51,$C$72:$C$105,AC$72:AC$105,"")</f>
        <v/>
      </c>
      <c r="AD51" s="34" t="str">
        <f>+_xlfn.XLOOKUP($C51,$C$72:$C$105,AD$72:AD$105,"")</f>
        <v/>
      </c>
      <c r="AE51" s="34" t="str">
        <f>+_xlfn.XLOOKUP($C51,$C$72:$C$105,AE$72:AE$105,"")</f>
        <v/>
      </c>
      <c r="AF51" s="34" t="str">
        <f>+_xlfn.XLOOKUP($C51,$C$72:$C$105,AF$72:AF$105,"")</f>
        <v/>
      </c>
      <c r="AG51" s="34" t="str">
        <f>+_xlfn.XLOOKUP($C51,$C$72:$C$105,AG$72:AG$105,"")</f>
        <v/>
      </c>
      <c r="AH51" s="34" t="str">
        <f>+_xlfn.XLOOKUP($C51,$C$72:$C$105,AH$72:AH$105,"")</f>
        <v/>
      </c>
      <c r="AI51" s="34" t="str">
        <f>+_xlfn.XLOOKUP($C51,$C$72:$C$105,AI$72:AI$105,"")</f>
        <v/>
      </c>
      <c r="AJ51" s="34">
        <f>+_xlfn.XLOOKUP($C51,$C$72:$C$105,AJ$72:AJ$105,"")</f>
        <v>-15</v>
      </c>
      <c r="AK51" s="34" t="str">
        <f>+_xlfn.XLOOKUP($C51,$C$72:$C$105,AK$72:AK$105,"")</f>
        <v/>
      </c>
      <c r="AL51" s="34" t="str">
        <f>+_xlfn.XLOOKUP($C51,$C$72:$C$105,AL$72:AL$105,"")</f>
        <v/>
      </c>
      <c r="AM51" s="34" t="str">
        <f>+_xlfn.XLOOKUP($C51,$C$72:$C$105,AM$72:AM$105,"")</f>
        <v/>
      </c>
      <c r="AN51" s="34" t="str">
        <f>+_xlfn.XLOOKUP($C51,$C$72:$C$105,AN$72:AN$105,"")</f>
        <v/>
      </c>
      <c r="AO51" s="34" t="str">
        <f>+_xlfn.XLOOKUP($C51,$C$72:$C$105,AO$72:AO$105,"")</f>
        <v/>
      </c>
      <c r="AP51" s="34" t="str">
        <f>+_xlfn.XLOOKUP($C51,$C$72:$C$105,AP$72:AP$105,"")</f>
        <v/>
      </c>
      <c r="AQ51" s="34" t="str">
        <f>+_xlfn.XLOOKUP($C51,$C$72:$C$105,AQ$72:AQ$105,"")</f>
        <v/>
      </c>
      <c r="AR51" s="34" t="str">
        <f>+_xlfn.XLOOKUP($C51,$C$72:$C$105,AR$72:AR$105,"")</f>
        <v/>
      </c>
      <c r="AS51" s="34">
        <f>+_xlfn.XLOOKUP($C51,$C$72:$C$105,AS$72:AS$105,"")</f>
        <v>-20</v>
      </c>
      <c r="AT51" s="34">
        <f>+_xlfn.XLOOKUP($C51,$C$72:$C$105,AT$72:AT$105,"")</f>
        <v>90</v>
      </c>
      <c r="AU51" s="34" t="str">
        <f>+_xlfn.XLOOKUP($C51,$C$72:$C$105,AU$72:AU$105,"")</f>
        <v/>
      </c>
      <c r="AV51" s="34">
        <f>+_xlfn.XLOOKUP($C51,$C$72:$C$105,AV$72:AV$105,"")</f>
        <v>-30</v>
      </c>
      <c r="AW51" s="34" t="str">
        <f>+_xlfn.XLOOKUP($C51,$C$72:$C$105,AW$72:AW$105,"")</f>
        <v/>
      </c>
      <c r="AX51" s="34" t="str">
        <f>+_xlfn.XLOOKUP($C51,$C$72:$C$105,AX$72:AX$105,"")</f>
        <v/>
      </c>
      <c r="AY51" s="34" t="str">
        <f>+_xlfn.XLOOKUP($C51,$C$72:$C$105,AY$72:AY$105,"")</f>
        <v/>
      </c>
      <c r="AZ51" s="34">
        <f>+_xlfn.XLOOKUP($C51,$C$72:$C$105,AZ$72:AZ$105,"")</f>
        <v>-20</v>
      </c>
      <c r="BA51" s="34" t="str">
        <f>+_xlfn.XLOOKUP($C51,$C$72:$C$105,BA$72:BA$105,"")</f>
        <v/>
      </c>
      <c r="BB51" s="34" t="str">
        <f>+_xlfn.XLOOKUP($C51,$C$72:$C$105,BB$72:BB$105,"")</f>
        <v/>
      </c>
      <c r="BC51" s="34" t="str">
        <f>+_xlfn.XLOOKUP($C51,$C$72:$C$105,BC$72:BC$105,"")</f>
        <v/>
      </c>
      <c r="BD51" s="34">
        <f>+_xlfn.XLOOKUP($C51,$C$72:$C$105,BD$72:BD$105,"")</f>
        <v>-20</v>
      </c>
      <c r="BE51" s="34" t="str">
        <f>+_xlfn.XLOOKUP($C51,$C$72:$C$105,BE$72:BE$105,"")</f>
        <v/>
      </c>
      <c r="BF51" s="34" t="str">
        <f>+_xlfn.XLOOKUP($C51,$C$72:$C$105,BF$72:BF$105,"")</f>
        <v/>
      </c>
      <c r="BG51" s="34" t="str">
        <f>+_xlfn.XLOOKUP($C51,$C$72:$C$105,BG$72:BG$105,"")</f>
        <v/>
      </c>
      <c r="BH51" s="34" t="str">
        <f>+_xlfn.XLOOKUP($C51,$C$72:$C$105,BH$72:BH$105,"")</f>
        <v/>
      </c>
      <c r="BI51" s="34" t="str">
        <f>+_xlfn.XLOOKUP($C51,$C$72:$C$105,BI$72:BI$105,"")</f>
        <v/>
      </c>
      <c r="BJ51" s="34" t="str">
        <f>+_xlfn.XLOOKUP($C51,$C$72:$C$105,BJ$72:BJ$105,"")</f>
        <v/>
      </c>
      <c r="BK51" s="34" t="str">
        <f>+_xlfn.XLOOKUP($C51,$C$72:$C$105,BK$72:BK$105,"")</f>
        <v/>
      </c>
      <c r="BL51" s="34">
        <f>+_xlfn.XLOOKUP($C51,$C$72:$C$105,BL$72:BL$105,"")</f>
        <v>95</v>
      </c>
      <c r="BM51" s="34" t="str">
        <f>+_xlfn.XLOOKUP($C51,$C$72:$C$105,BM$72:BM$105,"")</f>
        <v/>
      </c>
      <c r="BN51" s="34" t="str">
        <f>+_xlfn.XLOOKUP($C51,$C$72:$C$105,BN$72:BN$105,"")</f>
        <v/>
      </c>
      <c r="BO51" s="34" t="str">
        <f>+_xlfn.XLOOKUP($C51,$C$72:$C$105,BO$72:BO$105,"")</f>
        <v/>
      </c>
      <c r="BP51" s="34">
        <f>+_xlfn.XLOOKUP($C51,$C$72:$C$105,BP$72:BP$105,"")</f>
        <v>-20</v>
      </c>
      <c r="BQ51" s="34" t="str">
        <f>+_xlfn.XLOOKUP($C51,$C$72:$C$105,BQ$72:BQ$105,"")</f>
        <v/>
      </c>
      <c r="BR51" s="34" t="str">
        <f>+_xlfn.XLOOKUP($C51,$C$72:$C$105,BR$72:BR$105,"")</f>
        <v/>
      </c>
      <c r="BS51" s="34" t="str">
        <f>+_xlfn.XLOOKUP($C51,$C$72:$C$105,BS$72:BS$105,"")</f>
        <v/>
      </c>
      <c r="BT51" s="34">
        <f>+_xlfn.XLOOKUP($C51,$C$72:$C$105,BT$72:BT$105,"")</f>
        <v>-20</v>
      </c>
      <c r="BU51" s="34">
        <f>+_xlfn.XLOOKUP($C51,$C$72:$C$105,BU$72:BU$105,"")</f>
        <v>-20</v>
      </c>
      <c r="BV51" s="34" t="str">
        <f>+_xlfn.XLOOKUP($C51,$C$72:$C$105,BV$72:BV$105,"")</f>
        <v/>
      </c>
      <c r="BW51" s="34" t="str">
        <f>+_xlfn.XLOOKUP($C51,$C$72:$C$105,BW$72:BW$105,"")</f>
        <v/>
      </c>
      <c r="BX51" s="34" t="str">
        <f>+_xlfn.XLOOKUP($C51,$C$72:$C$105,BX$72:BX$105,"")</f>
        <v/>
      </c>
      <c r="BY51" s="34" t="str">
        <f>+_xlfn.XLOOKUP($C51,$C$72:$C$105,BY$72:BY$105,"")</f>
        <v/>
      </c>
      <c r="BZ51" s="34">
        <f>+_xlfn.XLOOKUP($C51,$C$72:$C$105,BZ$72:BZ$105,"")</f>
        <v>-20</v>
      </c>
      <c r="CA51" s="34" t="str">
        <f>+_xlfn.XLOOKUP($C51,$C$72:$C$105,CA$72:CA$105,"")</f>
        <v/>
      </c>
      <c r="CB51" s="34" t="str">
        <f>+_xlfn.XLOOKUP($C51,$C$72:$C$105,CB$72:CB$105,"")</f>
        <v/>
      </c>
      <c r="CC51" s="34" t="str">
        <f>+_xlfn.XLOOKUP($C51,$C$72:$C$105,CC$72:CC$105,"")</f>
        <v/>
      </c>
      <c r="CD51" s="34" t="str">
        <f>+_xlfn.XLOOKUP($C51,$C$72:$C$105,CD$72:CD$105,"")</f>
        <v/>
      </c>
      <c r="CE51" s="34">
        <f>+_xlfn.XLOOKUP($C51,$C$72:$C$105,CE$72:CE$105,"")</f>
        <v>-40</v>
      </c>
      <c r="CF51" s="34" t="str">
        <f>+_xlfn.XLOOKUP($C51,$C$72:$C$105,CF$72:CF$105,"")</f>
        <v/>
      </c>
      <c r="CG51" s="34" t="str">
        <f>+_xlfn.XLOOKUP($C51,$C$72:$C$105,CG$72:CG$105,"")</f>
        <v/>
      </c>
      <c r="CH51" s="34" t="str">
        <f>+_xlfn.XLOOKUP($C51,$C$72:$C$105,CH$72:CH$105,"")</f>
        <v/>
      </c>
      <c r="CI51" s="34" t="str">
        <f>+_xlfn.XLOOKUP($C51,$C$72:$C$105,CI$72:CI$105,"")</f>
        <v/>
      </c>
      <c r="CJ51" s="34" t="str">
        <f>+_xlfn.XLOOKUP($C51,$C$72:$C$105,CJ$72:CJ$105,"")</f>
        <v/>
      </c>
      <c r="CK51" s="34" t="str">
        <f>+_xlfn.XLOOKUP($C51,$C$72:$C$105,CK$72:CK$105,"")</f>
        <v/>
      </c>
      <c r="CL51" s="34" t="str">
        <f>+_xlfn.XLOOKUP($C51,$C$72:$C$105,CL$72:CL$105,"")</f>
        <v/>
      </c>
      <c r="CM51" s="34" t="str">
        <f>+_xlfn.XLOOKUP($C51,$C$72:$C$105,CM$72:CM$105,"")</f>
        <v/>
      </c>
      <c r="CN51" s="34" t="str">
        <f>+_xlfn.XLOOKUP($C51,$C$72:$C$105,CN$72:CN$105,"")</f>
        <v/>
      </c>
      <c r="CO51" s="35"/>
      <c r="CP51" s="36">
        <f>+_xlfn.XLOOKUP($C51,$C$72:$C$105,CP$72:CP$105,"")</f>
        <v>-65</v>
      </c>
      <c r="CQ51" s="34"/>
      <c r="CR51" s="37">
        <f>+_xlfn.XLOOKUP($C51,$C$72:$C$105,CR$72:CR$105,"")</f>
        <v>-0.15294117647058825</v>
      </c>
      <c r="CS51" s="38">
        <f>+_xlfn.XLOOKUP($C51,$C$72:$C$105,CS$72:CS$105,"")</f>
        <v>20</v>
      </c>
      <c r="CT51" s="38">
        <f>+_xlfn.XLOOKUP($C51,$C$72:$C$105,CT$72:CT$105,"")</f>
        <v>4</v>
      </c>
      <c r="CU51" s="37">
        <f>+_xlfn.XLOOKUP($C51,$C$72:$C$105,CU$72:CU$105,"")</f>
        <v>0.2</v>
      </c>
      <c r="CV51" s="37">
        <f>+_xlfn.XLOOKUP($C51,$C$72:$C$105,CV$72:CV$105,"")</f>
        <v>0.10794602698650675</v>
      </c>
      <c r="CW51" s="37">
        <f>+_xlfn.XLOOKUP($C51,$C$72:$C$105,CW$72:CW$105,"")</f>
        <v>0.12743628185907047</v>
      </c>
      <c r="CX51" s="39">
        <f>+_xlfn.XLOOKUP($C51,$C$72:$C$105,CX$72:CX$105,"")</f>
        <v>-3.25</v>
      </c>
    </row>
    <row r="52" spans="2:102" ht="12.75" customHeight="1" x14ac:dyDescent="0.2">
      <c r="B52" s="84">
        <f t="shared" si="94"/>
        <v>25</v>
      </c>
      <c r="C52" s="40" t="str">
        <v>Artturi Jalli</v>
      </c>
      <c r="D52" s="41" t="str">
        <f>+_xlfn.XLOOKUP($C52,$C$72:$C$105,D$72:D$105,"")</f>
        <v/>
      </c>
      <c r="E52" s="41" t="str">
        <f>+_xlfn.XLOOKUP($C52,$C$72:$C$105,E$72:E$105,"")</f>
        <v/>
      </c>
      <c r="F52" s="41" t="str">
        <f>+_xlfn.XLOOKUP($C52,$C$72:$C$105,F$72:F$105,"")</f>
        <v/>
      </c>
      <c r="G52" s="41" t="str">
        <f>+_xlfn.XLOOKUP($C52,$C$72:$C$105,G$72:G$105,"")</f>
        <v/>
      </c>
      <c r="H52" s="41" t="str">
        <f>+_xlfn.XLOOKUP($C52,$C$72:$C$105,H$72:H$105,"")</f>
        <v/>
      </c>
      <c r="I52" s="41" t="str">
        <f>+_xlfn.XLOOKUP($C52,$C$72:$C$105,I$72:I$105,"")</f>
        <v/>
      </c>
      <c r="J52" s="41" t="str">
        <f>+_xlfn.XLOOKUP($C52,$C$72:$C$105,J$72:J$105,"")</f>
        <v/>
      </c>
      <c r="K52" s="41" t="str">
        <f>+_xlfn.XLOOKUP($C52,$C$72:$C$105,K$72:K$105,"")</f>
        <v/>
      </c>
      <c r="L52" s="41" t="str">
        <f>+_xlfn.XLOOKUP($C52,$C$72:$C$105,L$72:L$105,"")</f>
        <v/>
      </c>
      <c r="M52" s="41" t="str">
        <f>+_xlfn.XLOOKUP($C52,$C$72:$C$105,M$72:M$105,"")</f>
        <v/>
      </c>
      <c r="N52" s="41" t="str">
        <f>+_xlfn.XLOOKUP($C52,$C$72:$C$105,N$72:N$105,"")</f>
        <v/>
      </c>
      <c r="O52" s="41" t="str">
        <f>+_xlfn.XLOOKUP($C52,$C$72:$C$105,O$72:O$105,"")</f>
        <v/>
      </c>
      <c r="P52" s="41" t="str">
        <f>+_xlfn.XLOOKUP($C52,$C$72:$C$105,P$72:P$105,"")</f>
        <v/>
      </c>
      <c r="Q52" s="41" t="str">
        <f>+_xlfn.XLOOKUP($C52,$C$72:$C$105,Q$72:Q$105,"")</f>
        <v/>
      </c>
      <c r="R52" s="41" t="str">
        <f>+_xlfn.XLOOKUP($C52,$C$72:$C$105,R$72:R$105,"")</f>
        <v/>
      </c>
      <c r="S52" s="41" t="str">
        <f>+_xlfn.XLOOKUP($C52,$C$72:$C$105,S$72:S$105,"")</f>
        <v/>
      </c>
      <c r="T52" s="41" t="str">
        <f>+_xlfn.XLOOKUP($C52,$C$72:$C$105,T$72:T$105,"")</f>
        <v/>
      </c>
      <c r="U52" s="41" t="str">
        <f>+_xlfn.XLOOKUP($C52,$C$72:$C$105,U$72:U$105,"")</f>
        <v/>
      </c>
      <c r="V52" s="41" t="str">
        <f>+_xlfn.XLOOKUP($C52,$C$72:$C$105,V$72:V$105,"")</f>
        <v/>
      </c>
      <c r="W52" s="41" t="str">
        <f>+_xlfn.XLOOKUP($C52,$C$72:$C$105,W$72:W$105,"")</f>
        <v/>
      </c>
      <c r="X52" s="41" t="str">
        <f>+_xlfn.XLOOKUP($C52,$C$72:$C$105,X$72:X$105,"")</f>
        <v/>
      </c>
      <c r="Y52" s="41" t="str">
        <f>+_xlfn.XLOOKUP($C52,$C$72:$C$105,Y$72:Y$105,"")</f>
        <v/>
      </c>
      <c r="Z52" s="41" t="str">
        <f>+_xlfn.XLOOKUP($C52,$C$72:$C$105,Z$72:Z$105,"")</f>
        <v/>
      </c>
      <c r="AA52" s="41" t="str">
        <f>+_xlfn.XLOOKUP($C52,$C$72:$C$105,AA$72:AA$105,"")</f>
        <v/>
      </c>
      <c r="AB52" s="41" t="str">
        <f>+_xlfn.XLOOKUP($C52,$C$72:$C$105,AB$72:AB$105,"")</f>
        <v/>
      </c>
      <c r="AC52" s="41" t="str">
        <f>+_xlfn.XLOOKUP($C52,$C$72:$C$105,AC$72:AC$105,"")</f>
        <v/>
      </c>
      <c r="AD52" s="41" t="str">
        <f>+_xlfn.XLOOKUP($C52,$C$72:$C$105,AD$72:AD$105,"")</f>
        <v/>
      </c>
      <c r="AE52" s="41" t="str">
        <f>+_xlfn.XLOOKUP($C52,$C$72:$C$105,AE$72:AE$105,"")</f>
        <v/>
      </c>
      <c r="AF52" s="41" t="str">
        <f>+_xlfn.XLOOKUP($C52,$C$72:$C$105,AF$72:AF$105,"")</f>
        <v/>
      </c>
      <c r="AG52" s="41" t="str">
        <f>+_xlfn.XLOOKUP($C52,$C$72:$C$105,AG$72:AG$105,"")</f>
        <v/>
      </c>
      <c r="AH52" s="41" t="str">
        <f>+_xlfn.XLOOKUP($C52,$C$72:$C$105,AH$72:AH$105,"")</f>
        <v/>
      </c>
      <c r="AI52" s="41" t="str">
        <f>+_xlfn.XLOOKUP($C52,$C$72:$C$105,AI$72:AI$105,"")</f>
        <v/>
      </c>
      <c r="AJ52" s="41" t="str">
        <f>+_xlfn.XLOOKUP($C52,$C$72:$C$105,AJ$72:AJ$105,"")</f>
        <v/>
      </c>
      <c r="AK52" s="41" t="str">
        <f>+_xlfn.XLOOKUP($C52,$C$72:$C$105,AK$72:AK$105,"")</f>
        <v/>
      </c>
      <c r="AL52" s="41" t="str">
        <f>+_xlfn.XLOOKUP($C52,$C$72:$C$105,AL$72:AL$105,"")</f>
        <v/>
      </c>
      <c r="AM52" s="41" t="str">
        <f>+_xlfn.XLOOKUP($C52,$C$72:$C$105,AM$72:AM$105,"")</f>
        <v/>
      </c>
      <c r="AN52" s="41" t="str">
        <f>+_xlfn.XLOOKUP($C52,$C$72:$C$105,AN$72:AN$105,"")</f>
        <v/>
      </c>
      <c r="AO52" s="41" t="str">
        <f>+_xlfn.XLOOKUP($C52,$C$72:$C$105,AO$72:AO$105,"")</f>
        <v/>
      </c>
      <c r="AP52" s="41" t="str">
        <f>+_xlfn.XLOOKUP($C52,$C$72:$C$105,AP$72:AP$105,"")</f>
        <v/>
      </c>
      <c r="AQ52" s="41" t="str">
        <f>+_xlfn.XLOOKUP($C52,$C$72:$C$105,AQ$72:AQ$105,"")</f>
        <v/>
      </c>
      <c r="AR52" s="41" t="str">
        <f>+_xlfn.XLOOKUP($C52,$C$72:$C$105,AR$72:AR$105,"")</f>
        <v/>
      </c>
      <c r="AS52" s="41" t="str">
        <f>+_xlfn.XLOOKUP($C52,$C$72:$C$105,AS$72:AS$105,"")</f>
        <v/>
      </c>
      <c r="AT52" s="41" t="str">
        <f>+_xlfn.XLOOKUP($C52,$C$72:$C$105,AT$72:AT$105,"")</f>
        <v/>
      </c>
      <c r="AU52" s="41" t="str">
        <f>+_xlfn.XLOOKUP($C52,$C$72:$C$105,AU$72:AU$105,"")</f>
        <v/>
      </c>
      <c r="AV52" s="41" t="str">
        <f>+_xlfn.XLOOKUP($C52,$C$72:$C$105,AV$72:AV$105,"")</f>
        <v/>
      </c>
      <c r="AW52" s="41" t="str">
        <f>+_xlfn.XLOOKUP($C52,$C$72:$C$105,AW$72:AW$105,"")</f>
        <v/>
      </c>
      <c r="AX52" s="41" t="str">
        <f>+_xlfn.XLOOKUP($C52,$C$72:$C$105,AX$72:AX$105,"")</f>
        <v/>
      </c>
      <c r="AY52" s="41" t="str">
        <f>+_xlfn.XLOOKUP($C52,$C$72:$C$105,AY$72:AY$105,"")</f>
        <v/>
      </c>
      <c r="AZ52" s="41" t="str">
        <f>+_xlfn.XLOOKUP($C52,$C$72:$C$105,AZ$72:AZ$105,"")</f>
        <v/>
      </c>
      <c r="BA52" s="41" t="str">
        <f>+_xlfn.XLOOKUP($C52,$C$72:$C$105,BA$72:BA$105,"")</f>
        <v/>
      </c>
      <c r="BB52" s="41" t="str">
        <f>+_xlfn.XLOOKUP($C52,$C$72:$C$105,BB$72:BB$105,"")</f>
        <v/>
      </c>
      <c r="BC52" s="41" t="str">
        <f>+_xlfn.XLOOKUP($C52,$C$72:$C$105,BC$72:BC$105,"")</f>
        <v/>
      </c>
      <c r="BD52" s="41" t="str">
        <f>+_xlfn.XLOOKUP($C52,$C$72:$C$105,BD$72:BD$105,"")</f>
        <v/>
      </c>
      <c r="BE52" s="41" t="str">
        <f>+_xlfn.XLOOKUP($C52,$C$72:$C$105,BE$72:BE$105,"")</f>
        <v/>
      </c>
      <c r="BF52" s="41" t="str">
        <f>+_xlfn.XLOOKUP($C52,$C$72:$C$105,BF$72:BF$105,"")</f>
        <v/>
      </c>
      <c r="BG52" s="41" t="str">
        <f>+_xlfn.XLOOKUP($C52,$C$72:$C$105,BG$72:BG$105,"")</f>
        <v/>
      </c>
      <c r="BH52" s="41" t="str">
        <f>+_xlfn.XLOOKUP($C52,$C$72:$C$105,BH$72:BH$105,"")</f>
        <v/>
      </c>
      <c r="BI52" s="41" t="str">
        <f>+_xlfn.XLOOKUP($C52,$C$72:$C$105,BI$72:BI$105,"")</f>
        <v/>
      </c>
      <c r="BJ52" s="41" t="str">
        <f>+_xlfn.XLOOKUP($C52,$C$72:$C$105,BJ$72:BJ$105,"")</f>
        <v/>
      </c>
      <c r="BK52" s="41" t="str">
        <f>+_xlfn.XLOOKUP($C52,$C$72:$C$105,BK$72:BK$105,"")</f>
        <v/>
      </c>
      <c r="BL52" s="41" t="str">
        <f>+_xlfn.XLOOKUP($C52,$C$72:$C$105,BL$72:BL$105,"")</f>
        <v/>
      </c>
      <c r="BM52" s="41" t="str">
        <f>+_xlfn.XLOOKUP($C52,$C$72:$C$105,BM$72:BM$105,"")</f>
        <v/>
      </c>
      <c r="BN52" s="41" t="str">
        <f>+_xlfn.XLOOKUP($C52,$C$72:$C$105,BN$72:BN$105,"")</f>
        <v/>
      </c>
      <c r="BO52" s="41" t="str">
        <f>+_xlfn.XLOOKUP($C52,$C$72:$C$105,BO$72:BO$105,"")</f>
        <v/>
      </c>
      <c r="BP52" s="41">
        <f>+_xlfn.XLOOKUP($C52,$C$72:$C$105,BP$72:BP$105,"")</f>
        <v>-20</v>
      </c>
      <c r="BQ52" s="41">
        <f>+_xlfn.XLOOKUP($C52,$C$72:$C$105,BQ$72:BQ$105,"")</f>
        <v>-20</v>
      </c>
      <c r="BR52" s="41">
        <f>+_xlfn.XLOOKUP($C52,$C$72:$C$105,BR$72:BR$105,"")</f>
        <v>-40</v>
      </c>
      <c r="BS52" s="41" t="str">
        <f>+_xlfn.XLOOKUP($C52,$C$72:$C$105,BS$72:BS$105,"")</f>
        <v/>
      </c>
      <c r="BT52" s="41" t="str">
        <f>+_xlfn.XLOOKUP($C52,$C$72:$C$105,BT$72:BT$105,"")</f>
        <v/>
      </c>
      <c r="BU52" s="41" t="str">
        <f>+_xlfn.XLOOKUP($C52,$C$72:$C$105,BU$72:BU$105,"")</f>
        <v/>
      </c>
      <c r="BV52" s="41">
        <f>+_xlfn.XLOOKUP($C52,$C$72:$C$105,BV$72:BV$105,"")</f>
        <v>-40</v>
      </c>
      <c r="BW52" s="41" t="str">
        <f>+_xlfn.XLOOKUP($C52,$C$72:$C$105,BW$72:BW$105,"")</f>
        <v/>
      </c>
      <c r="BX52" s="41" t="str">
        <f>+_xlfn.XLOOKUP($C52,$C$72:$C$105,BX$72:BX$105,"")</f>
        <v/>
      </c>
      <c r="BY52" s="41" t="str">
        <f>+_xlfn.XLOOKUP($C52,$C$72:$C$105,BY$72:BY$105,"")</f>
        <v/>
      </c>
      <c r="BZ52" s="41" t="str">
        <f>+_xlfn.XLOOKUP($C52,$C$72:$C$105,BZ$72:BZ$105,"")</f>
        <v/>
      </c>
      <c r="CA52" s="41">
        <f>+_xlfn.XLOOKUP($C52,$C$72:$C$105,CA$72:CA$105,"")</f>
        <v>-20</v>
      </c>
      <c r="CB52" s="41" t="str">
        <f>+_xlfn.XLOOKUP($C52,$C$72:$C$105,CB$72:CB$105,"")</f>
        <v/>
      </c>
      <c r="CC52" s="41">
        <f>+_xlfn.XLOOKUP($C52,$C$72:$C$105,CC$72:CC$105,"")</f>
        <v>-20</v>
      </c>
      <c r="CD52" s="41" t="str">
        <f>+_xlfn.XLOOKUP($C52,$C$72:$C$105,CD$72:CD$105,"")</f>
        <v/>
      </c>
      <c r="CE52" s="41">
        <f>+_xlfn.XLOOKUP($C52,$C$72:$C$105,CE$72:CE$105,"")</f>
        <v>156</v>
      </c>
      <c r="CF52" s="41">
        <f>+_xlfn.XLOOKUP($C52,$C$72:$C$105,CF$72:CF$105,"")</f>
        <v>-50</v>
      </c>
      <c r="CG52" s="41" t="str">
        <f>+_xlfn.XLOOKUP($C52,$C$72:$C$105,CG$72:CG$105,"")</f>
        <v/>
      </c>
      <c r="CH52" s="41" t="str">
        <f>+_xlfn.XLOOKUP($C52,$C$72:$C$105,CH$72:CH$105,"")</f>
        <v/>
      </c>
      <c r="CI52" s="41" t="str">
        <f>+_xlfn.XLOOKUP($C52,$C$72:$C$105,CI$72:CI$105,"")</f>
        <v/>
      </c>
      <c r="CJ52" s="41" t="str">
        <f>+_xlfn.XLOOKUP($C52,$C$72:$C$105,CJ$72:CJ$105,"")</f>
        <v/>
      </c>
      <c r="CK52" s="41">
        <f>+_xlfn.XLOOKUP($C52,$C$72:$C$105,CK$72:CK$105,"")</f>
        <v>-25</v>
      </c>
      <c r="CL52" s="41" t="str">
        <f>+_xlfn.XLOOKUP($C52,$C$72:$C$105,CL$72:CL$105,"")</f>
        <v/>
      </c>
      <c r="CM52" s="41" t="str">
        <f>+_xlfn.XLOOKUP($C52,$C$72:$C$105,CM$72:CM$105,"")</f>
        <v/>
      </c>
      <c r="CN52" s="41" t="str">
        <f>+_xlfn.XLOOKUP($C52,$C$72:$C$105,CN$72:CN$105,"")</f>
        <v/>
      </c>
      <c r="CO52" s="42"/>
      <c r="CP52" s="29">
        <f>+_xlfn.XLOOKUP($C52,$C$72:$C$105,CP$72:CP$105,"")</f>
        <v>-79</v>
      </c>
      <c r="CQ52" s="41"/>
      <c r="CR52" s="30">
        <f>+_xlfn.XLOOKUP($C52,$C$72:$C$105,CR$72:CR$105,"")</f>
        <v>-0.30980392156862746</v>
      </c>
      <c r="CS52" s="31">
        <f>+_xlfn.XLOOKUP($C52,$C$72:$C$105,CS$72:CS$105,"")</f>
        <v>9</v>
      </c>
      <c r="CT52" s="31">
        <f>+_xlfn.XLOOKUP($C52,$C$72:$C$105,CT$72:CT$105,"")</f>
        <v>1</v>
      </c>
      <c r="CU52" s="30">
        <f>+_xlfn.XLOOKUP($C52,$C$72:$C$105,CU$72:CU$105,"")</f>
        <v>0.1111111111111111</v>
      </c>
      <c r="CV52" s="30">
        <f>+_xlfn.XLOOKUP($C52,$C$72:$C$105,CV$72:CV$105,"")</f>
        <v>8.3412322274881517E-2</v>
      </c>
      <c r="CW52" s="30">
        <f>+_xlfn.XLOOKUP($C52,$C$72:$C$105,CW$72:CW$105,"")</f>
        <v>0.12085308056872038</v>
      </c>
      <c r="CX52" s="32">
        <f>+_xlfn.XLOOKUP($C52,$C$72:$C$105,CX$72:CX$105,"")</f>
        <v>-8.7777777777777786</v>
      </c>
    </row>
    <row r="53" spans="2:102" ht="12.75" customHeight="1" x14ac:dyDescent="0.2">
      <c r="B53" s="83">
        <f t="shared" si="94"/>
        <v>26</v>
      </c>
      <c r="C53" s="33" t="str">
        <v>Vilko Repo</v>
      </c>
      <c r="D53" s="34" t="str">
        <f>+_xlfn.XLOOKUP($C53,$C$72:$C$105,D$72:D$105,"")</f>
        <v/>
      </c>
      <c r="E53" s="34" t="str">
        <f>+_xlfn.XLOOKUP($C53,$C$72:$C$105,E$72:E$105,"")</f>
        <v/>
      </c>
      <c r="F53" s="34" t="str">
        <f>+_xlfn.XLOOKUP($C53,$C$72:$C$105,F$72:F$105,"")</f>
        <v/>
      </c>
      <c r="G53" s="34" t="str">
        <f>+_xlfn.XLOOKUP($C53,$C$72:$C$105,G$72:G$105,"")</f>
        <v/>
      </c>
      <c r="H53" s="34" t="str">
        <f>+_xlfn.XLOOKUP($C53,$C$72:$C$105,H$72:H$105,"")</f>
        <v/>
      </c>
      <c r="I53" s="34" t="str">
        <f>+_xlfn.XLOOKUP($C53,$C$72:$C$105,I$72:I$105,"")</f>
        <v/>
      </c>
      <c r="J53" s="34" t="str">
        <f>+_xlfn.XLOOKUP($C53,$C$72:$C$105,J$72:J$105,"")</f>
        <v/>
      </c>
      <c r="K53" s="34" t="str">
        <f>+_xlfn.XLOOKUP($C53,$C$72:$C$105,K$72:K$105,"")</f>
        <v/>
      </c>
      <c r="L53" s="34" t="str">
        <f>+_xlfn.XLOOKUP($C53,$C$72:$C$105,L$72:L$105,"")</f>
        <v/>
      </c>
      <c r="M53" s="34" t="str">
        <f>+_xlfn.XLOOKUP($C53,$C$72:$C$105,M$72:M$105,"")</f>
        <v/>
      </c>
      <c r="N53" s="34" t="str">
        <f>+_xlfn.XLOOKUP($C53,$C$72:$C$105,N$72:N$105,"")</f>
        <v/>
      </c>
      <c r="O53" s="34" t="str">
        <f>+_xlfn.XLOOKUP($C53,$C$72:$C$105,O$72:O$105,"")</f>
        <v/>
      </c>
      <c r="P53" s="34" t="str">
        <f>+_xlfn.XLOOKUP($C53,$C$72:$C$105,P$72:P$105,"")</f>
        <v/>
      </c>
      <c r="Q53" s="34" t="str">
        <f>+_xlfn.XLOOKUP($C53,$C$72:$C$105,Q$72:Q$105,"")</f>
        <v/>
      </c>
      <c r="R53" s="34" t="str">
        <f>+_xlfn.XLOOKUP($C53,$C$72:$C$105,R$72:R$105,"")</f>
        <v/>
      </c>
      <c r="S53" s="34" t="str">
        <f>+_xlfn.XLOOKUP($C53,$C$72:$C$105,S$72:S$105,"")</f>
        <v/>
      </c>
      <c r="T53" s="34" t="str">
        <f>+_xlfn.XLOOKUP($C53,$C$72:$C$105,T$72:T$105,"")</f>
        <v/>
      </c>
      <c r="U53" s="34" t="str">
        <f>+_xlfn.XLOOKUP($C53,$C$72:$C$105,U$72:U$105,"")</f>
        <v/>
      </c>
      <c r="V53" s="34" t="str">
        <f>+_xlfn.XLOOKUP($C53,$C$72:$C$105,V$72:V$105,"")</f>
        <v/>
      </c>
      <c r="W53" s="34" t="str">
        <f>+_xlfn.XLOOKUP($C53,$C$72:$C$105,W$72:W$105,"")</f>
        <v/>
      </c>
      <c r="X53" s="34" t="str">
        <f>+_xlfn.XLOOKUP($C53,$C$72:$C$105,X$72:X$105,"")</f>
        <v/>
      </c>
      <c r="Y53" s="34" t="str">
        <f>+_xlfn.XLOOKUP($C53,$C$72:$C$105,Y$72:Y$105,"")</f>
        <v/>
      </c>
      <c r="Z53" s="34" t="str">
        <f>+_xlfn.XLOOKUP($C53,$C$72:$C$105,Z$72:Z$105,"")</f>
        <v/>
      </c>
      <c r="AA53" s="34" t="str">
        <f>+_xlfn.XLOOKUP($C53,$C$72:$C$105,AA$72:AA$105,"")</f>
        <v/>
      </c>
      <c r="AB53" s="34" t="str">
        <f>+_xlfn.XLOOKUP($C53,$C$72:$C$105,AB$72:AB$105,"")</f>
        <v/>
      </c>
      <c r="AC53" s="34" t="str">
        <f>+_xlfn.XLOOKUP($C53,$C$72:$C$105,AC$72:AC$105,"")</f>
        <v/>
      </c>
      <c r="AD53" s="34" t="str">
        <f>+_xlfn.XLOOKUP($C53,$C$72:$C$105,AD$72:AD$105,"")</f>
        <v/>
      </c>
      <c r="AE53" s="34" t="str">
        <f>+_xlfn.XLOOKUP($C53,$C$72:$C$105,AE$72:AE$105,"")</f>
        <v/>
      </c>
      <c r="AF53" s="34" t="str">
        <f>+_xlfn.XLOOKUP($C53,$C$72:$C$105,AF$72:AF$105,"")</f>
        <v/>
      </c>
      <c r="AG53" s="34" t="str">
        <f>+_xlfn.XLOOKUP($C53,$C$72:$C$105,AG$72:AG$105,"")</f>
        <v/>
      </c>
      <c r="AH53" s="34" t="str">
        <f>+_xlfn.XLOOKUP($C53,$C$72:$C$105,AH$72:AH$105,"")</f>
        <v/>
      </c>
      <c r="AI53" s="34" t="str">
        <f>+_xlfn.XLOOKUP($C53,$C$72:$C$105,AI$72:AI$105,"")</f>
        <v/>
      </c>
      <c r="AJ53" s="34" t="str">
        <f>+_xlfn.XLOOKUP($C53,$C$72:$C$105,AJ$72:AJ$105,"")</f>
        <v/>
      </c>
      <c r="AK53" s="34" t="str">
        <f>+_xlfn.XLOOKUP($C53,$C$72:$C$105,AK$72:AK$105,"")</f>
        <v/>
      </c>
      <c r="AL53" s="34" t="str">
        <f>+_xlfn.XLOOKUP($C53,$C$72:$C$105,AL$72:AL$105,"")</f>
        <v/>
      </c>
      <c r="AM53" s="34" t="str">
        <f>+_xlfn.XLOOKUP($C53,$C$72:$C$105,AM$72:AM$105,"")</f>
        <v/>
      </c>
      <c r="AN53" s="34" t="str">
        <f>+_xlfn.XLOOKUP($C53,$C$72:$C$105,AN$72:AN$105,"")</f>
        <v/>
      </c>
      <c r="AO53" s="34" t="str">
        <f>+_xlfn.XLOOKUP($C53,$C$72:$C$105,AO$72:AO$105,"")</f>
        <v/>
      </c>
      <c r="AP53" s="34" t="str">
        <f>+_xlfn.XLOOKUP($C53,$C$72:$C$105,AP$72:AP$105,"")</f>
        <v/>
      </c>
      <c r="AQ53" s="34" t="str">
        <f>+_xlfn.XLOOKUP($C53,$C$72:$C$105,AQ$72:AQ$105,"")</f>
        <v/>
      </c>
      <c r="AR53" s="34" t="str">
        <f>+_xlfn.XLOOKUP($C53,$C$72:$C$105,AR$72:AR$105,"")</f>
        <v/>
      </c>
      <c r="AS53" s="34" t="str">
        <f>+_xlfn.XLOOKUP($C53,$C$72:$C$105,AS$72:AS$105,"")</f>
        <v/>
      </c>
      <c r="AT53" s="34" t="str">
        <f>+_xlfn.XLOOKUP($C53,$C$72:$C$105,AT$72:AT$105,"")</f>
        <v/>
      </c>
      <c r="AU53" s="34" t="str">
        <f>+_xlfn.XLOOKUP($C53,$C$72:$C$105,AU$72:AU$105,"")</f>
        <v/>
      </c>
      <c r="AV53" s="34" t="str">
        <f>+_xlfn.XLOOKUP($C53,$C$72:$C$105,AV$72:AV$105,"")</f>
        <v/>
      </c>
      <c r="AW53" s="34" t="str">
        <f>+_xlfn.XLOOKUP($C53,$C$72:$C$105,AW$72:AW$105,"")</f>
        <v/>
      </c>
      <c r="AX53" s="34" t="str">
        <f>+_xlfn.XLOOKUP($C53,$C$72:$C$105,AX$72:AX$105,"")</f>
        <v/>
      </c>
      <c r="AY53" s="34" t="str">
        <f>+_xlfn.XLOOKUP($C53,$C$72:$C$105,AY$72:AY$105,"")</f>
        <v/>
      </c>
      <c r="AZ53" s="34" t="str">
        <f>+_xlfn.XLOOKUP($C53,$C$72:$C$105,AZ$72:AZ$105,"")</f>
        <v/>
      </c>
      <c r="BA53" s="34" t="str">
        <f>+_xlfn.XLOOKUP($C53,$C$72:$C$105,BA$72:BA$105,"")</f>
        <v/>
      </c>
      <c r="BB53" s="34" t="str">
        <f>+_xlfn.XLOOKUP($C53,$C$72:$C$105,BB$72:BB$105,"")</f>
        <v/>
      </c>
      <c r="BC53" s="34" t="str">
        <f>+_xlfn.XLOOKUP($C53,$C$72:$C$105,BC$72:BC$105,"")</f>
        <v/>
      </c>
      <c r="BD53" s="34" t="str">
        <f>+_xlfn.XLOOKUP($C53,$C$72:$C$105,BD$72:BD$105,"")</f>
        <v/>
      </c>
      <c r="BE53" s="34" t="str">
        <f>+_xlfn.XLOOKUP($C53,$C$72:$C$105,BE$72:BE$105,"")</f>
        <v/>
      </c>
      <c r="BF53" s="34" t="str">
        <f>+_xlfn.XLOOKUP($C53,$C$72:$C$105,BF$72:BF$105,"")</f>
        <v/>
      </c>
      <c r="BG53" s="34" t="str">
        <f>+_xlfn.XLOOKUP($C53,$C$72:$C$105,BG$72:BG$105,"")</f>
        <v/>
      </c>
      <c r="BH53" s="34" t="str">
        <f>+_xlfn.XLOOKUP($C53,$C$72:$C$105,BH$72:BH$105,"")</f>
        <v/>
      </c>
      <c r="BI53" s="34" t="str">
        <f>+_xlfn.XLOOKUP($C53,$C$72:$C$105,BI$72:BI$105,"")</f>
        <v/>
      </c>
      <c r="BJ53" s="34" t="str">
        <f>+_xlfn.XLOOKUP($C53,$C$72:$C$105,BJ$72:BJ$105,"")</f>
        <v/>
      </c>
      <c r="BK53" s="34" t="str">
        <f>+_xlfn.XLOOKUP($C53,$C$72:$C$105,BK$72:BK$105,"")</f>
        <v/>
      </c>
      <c r="BL53" s="34" t="str">
        <f>+_xlfn.XLOOKUP($C53,$C$72:$C$105,BL$72:BL$105,"")</f>
        <v/>
      </c>
      <c r="BM53" s="34" t="str">
        <f>+_xlfn.XLOOKUP($C53,$C$72:$C$105,BM$72:BM$105,"")</f>
        <v/>
      </c>
      <c r="BN53" s="34" t="str">
        <f>+_xlfn.XLOOKUP($C53,$C$72:$C$105,BN$72:BN$105,"")</f>
        <v/>
      </c>
      <c r="BO53" s="34" t="str">
        <f>+_xlfn.XLOOKUP($C53,$C$72:$C$105,BO$72:BO$105,"")</f>
        <v/>
      </c>
      <c r="BP53" s="34" t="str">
        <f>+_xlfn.XLOOKUP($C53,$C$72:$C$105,BP$72:BP$105,"")</f>
        <v/>
      </c>
      <c r="BQ53" s="34" t="str">
        <f>+_xlfn.XLOOKUP($C53,$C$72:$C$105,BQ$72:BQ$105,"")</f>
        <v/>
      </c>
      <c r="BR53" s="34" t="str">
        <f>+_xlfn.XLOOKUP($C53,$C$72:$C$105,BR$72:BR$105,"")</f>
        <v/>
      </c>
      <c r="BS53" s="34" t="str">
        <f>+_xlfn.XLOOKUP($C53,$C$72:$C$105,BS$72:BS$105,"")</f>
        <v/>
      </c>
      <c r="BT53" s="34" t="str">
        <f>+_xlfn.XLOOKUP($C53,$C$72:$C$105,BT$72:BT$105,"")</f>
        <v/>
      </c>
      <c r="BU53" s="34" t="str">
        <f>+_xlfn.XLOOKUP($C53,$C$72:$C$105,BU$72:BU$105,"")</f>
        <v/>
      </c>
      <c r="BV53" s="34" t="str">
        <f>+_xlfn.XLOOKUP($C53,$C$72:$C$105,BV$72:BV$105,"")</f>
        <v/>
      </c>
      <c r="BW53" s="34" t="str">
        <f>+_xlfn.XLOOKUP($C53,$C$72:$C$105,BW$72:BW$105,"")</f>
        <v/>
      </c>
      <c r="BX53" s="34" t="str">
        <f>+_xlfn.XLOOKUP($C53,$C$72:$C$105,BX$72:BX$105,"")</f>
        <v/>
      </c>
      <c r="BY53" s="34" t="str">
        <f>+_xlfn.XLOOKUP($C53,$C$72:$C$105,BY$72:BY$105,"")</f>
        <v/>
      </c>
      <c r="BZ53" s="34" t="str">
        <f>+_xlfn.XLOOKUP($C53,$C$72:$C$105,BZ$72:BZ$105,"")</f>
        <v/>
      </c>
      <c r="CA53" s="34">
        <f>+_xlfn.XLOOKUP($C53,$C$72:$C$105,CA$72:CA$105,"")</f>
        <v>-20</v>
      </c>
      <c r="CB53" s="34" t="str">
        <f>+_xlfn.XLOOKUP($C53,$C$72:$C$105,CB$72:CB$105,"")</f>
        <v/>
      </c>
      <c r="CC53" s="34" t="str">
        <f>+_xlfn.XLOOKUP($C53,$C$72:$C$105,CC$72:CC$105,"")</f>
        <v/>
      </c>
      <c r="CD53" s="34" t="str">
        <f>+_xlfn.XLOOKUP($C53,$C$72:$C$105,CD$72:CD$105,"")</f>
        <v/>
      </c>
      <c r="CE53" s="34" t="str">
        <f>+_xlfn.XLOOKUP($C53,$C$72:$C$105,CE$72:CE$105,"")</f>
        <v/>
      </c>
      <c r="CF53" s="34" t="str">
        <f>+_xlfn.XLOOKUP($C53,$C$72:$C$105,CF$72:CF$105,"")</f>
        <v/>
      </c>
      <c r="CG53" s="34" t="str">
        <f>+_xlfn.XLOOKUP($C53,$C$72:$C$105,CG$72:CG$105,"")</f>
        <v/>
      </c>
      <c r="CH53" s="34">
        <f>+_xlfn.XLOOKUP($C53,$C$72:$C$105,CH$72:CH$105,"")</f>
        <v>-90</v>
      </c>
      <c r="CI53" s="34" t="str">
        <f>+_xlfn.XLOOKUP($C53,$C$72:$C$105,CI$72:CI$105,"")</f>
        <v/>
      </c>
      <c r="CJ53" s="34" t="str">
        <f>+_xlfn.XLOOKUP($C53,$C$72:$C$105,CJ$72:CJ$105,"")</f>
        <v/>
      </c>
      <c r="CK53" s="34" t="str">
        <f>+_xlfn.XLOOKUP($C53,$C$72:$C$105,CK$72:CK$105,"")</f>
        <v/>
      </c>
      <c r="CL53" s="34" t="str">
        <f>+_xlfn.XLOOKUP($C53,$C$72:$C$105,CL$72:CL$105,"")</f>
        <v/>
      </c>
      <c r="CM53" s="34" t="str">
        <f>+_xlfn.XLOOKUP($C53,$C$72:$C$105,CM$72:CM$105,"")</f>
        <v/>
      </c>
      <c r="CN53" s="34" t="str">
        <f>+_xlfn.XLOOKUP($C53,$C$72:$C$105,CN$72:CN$105,"")</f>
        <v/>
      </c>
      <c r="CO53" s="35"/>
      <c r="CP53" s="36">
        <f>+_xlfn.XLOOKUP($C53,$C$72:$C$105,CP$72:CP$105,"")</f>
        <v>-110</v>
      </c>
      <c r="CQ53" s="34"/>
      <c r="CR53" s="37">
        <f>+_xlfn.XLOOKUP($C53,$C$72:$C$105,CR$72:CR$105,"")</f>
        <v>-1</v>
      </c>
      <c r="CS53" s="38">
        <f>+_xlfn.XLOOKUP($C53,$C$72:$C$105,CS$72:CS$105,"")</f>
        <v>2</v>
      </c>
      <c r="CT53" s="38">
        <f>+_xlfn.XLOOKUP($C53,$C$72:$C$105,CT$72:CT$105,"")</f>
        <v>0</v>
      </c>
      <c r="CU53" s="37">
        <f>+_xlfn.XLOOKUP($C53,$C$72:$C$105,CU$72:CU$105,"")</f>
        <v>0</v>
      </c>
      <c r="CV53" s="37">
        <f>+_xlfn.XLOOKUP($C53,$C$72:$C$105,CV$72:CV$105,"")</f>
        <v>0</v>
      </c>
      <c r="CW53" s="37">
        <f>+_xlfn.XLOOKUP($C53,$C$72:$C$105,CW$72:CW$105,"")</f>
        <v>0.20370370370370369</v>
      </c>
      <c r="CX53" s="39">
        <f>+_xlfn.XLOOKUP($C53,$C$72:$C$105,CX$72:CX$105,"")</f>
        <v>-55</v>
      </c>
    </row>
    <row r="54" spans="2:102" ht="12.75" customHeight="1" x14ac:dyDescent="0.2">
      <c r="B54" s="84">
        <f t="shared" si="94"/>
        <v>27</v>
      </c>
      <c r="C54" s="40" t="str">
        <v>Amos Aaltio</v>
      </c>
      <c r="D54" s="41">
        <f>+_xlfn.XLOOKUP($C54,$C$72:$C$105,D$72:D$105,"")</f>
        <v>-10</v>
      </c>
      <c r="E54" s="41">
        <f>+_xlfn.XLOOKUP($C54,$C$72:$C$105,E$72:E$105,"")</f>
        <v>-10</v>
      </c>
      <c r="F54" s="41">
        <f>+_xlfn.XLOOKUP($C54,$C$72:$C$105,F$72:F$105,"")</f>
        <v>70</v>
      </c>
      <c r="G54" s="41" t="str">
        <f>+_xlfn.XLOOKUP($C54,$C$72:$C$105,G$72:G$105,"")</f>
        <v/>
      </c>
      <c r="H54" s="41">
        <f>+_xlfn.XLOOKUP($C54,$C$72:$C$105,H$72:H$105,"")</f>
        <v>45</v>
      </c>
      <c r="I54" s="41">
        <f>+_xlfn.XLOOKUP($C54,$C$72:$C$105,I$72:I$105,"")</f>
        <v>-15</v>
      </c>
      <c r="J54" s="41">
        <f>+_xlfn.XLOOKUP($C54,$C$72:$C$105,J$72:J$105,"")</f>
        <v>-15</v>
      </c>
      <c r="K54" s="41">
        <f>+_xlfn.XLOOKUP($C54,$C$72:$C$105,K$72:K$105,"")</f>
        <v>-25</v>
      </c>
      <c r="L54" s="41">
        <f>+_xlfn.XLOOKUP($C54,$C$72:$C$105,L$72:L$105,"")</f>
        <v>60</v>
      </c>
      <c r="M54" s="41">
        <f>+_xlfn.XLOOKUP($C54,$C$72:$C$105,M$72:M$105,"")</f>
        <v>-15</v>
      </c>
      <c r="N54" s="41" t="str">
        <f>+_xlfn.XLOOKUP($C54,$C$72:$C$105,N$72:N$105,"")</f>
        <v/>
      </c>
      <c r="O54" s="41">
        <f>+_xlfn.XLOOKUP($C54,$C$72:$C$105,O$72:O$105,"")</f>
        <v>60</v>
      </c>
      <c r="P54" s="41">
        <f>+_xlfn.XLOOKUP($C54,$C$72:$C$105,P$72:P$105,"")</f>
        <v>-15</v>
      </c>
      <c r="Q54" s="41">
        <f>+_xlfn.XLOOKUP($C54,$C$72:$C$105,Q$72:Q$105,"")</f>
        <v>-15</v>
      </c>
      <c r="R54" s="41">
        <f>+_xlfn.XLOOKUP($C54,$C$72:$C$105,R$72:R$105,"")</f>
        <v>-15</v>
      </c>
      <c r="S54" s="41">
        <f>+_xlfn.XLOOKUP($C54,$C$72:$C$105,S$72:S$105,"")</f>
        <v>-15</v>
      </c>
      <c r="T54" s="41">
        <f>+_xlfn.XLOOKUP($C54,$C$72:$C$105,T$72:T$105,"")</f>
        <v>120</v>
      </c>
      <c r="U54" s="41">
        <f>+_xlfn.XLOOKUP($C54,$C$72:$C$105,U$72:U$105,"")</f>
        <v>-15</v>
      </c>
      <c r="V54" s="41">
        <f>+_xlfn.XLOOKUP($C54,$C$72:$C$105,V$72:V$105,"")</f>
        <v>-30</v>
      </c>
      <c r="W54" s="41">
        <f>+_xlfn.XLOOKUP($C54,$C$72:$C$105,W$72:W$105,"")</f>
        <v>-15</v>
      </c>
      <c r="X54" s="41">
        <f>+_xlfn.XLOOKUP($C54,$C$72:$C$105,X$72:X$105,"")</f>
        <v>-15</v>
      </c>
      <c r="Y54" s="41">
        <f>+_xlfn.XLOOKUP($C54,$C$72:$C$105,Y$72:Y$105,"")</f>
        <v>-15</v>
      </c>
      <c r="Z54" s="41">
        <f>+_xlfn.XLOOKUP($C54,$C$72:$C$105,Z$72:Z$105,"")</f>
        <v>-30</v>
      </c>
      <c r="AA54" s="41" t="str">
        <f>+_xlfn.XLOOKUP($C54,$C$72:$C$105,AA$72:AA$105,"")</f>
        <v/>
      </c>
      <c r="AB54" s="41">
        <f>+_xlfn.XLOOKUP($C54,$C$72:$C$105,AB$72:AB$105,"")</f>
        <v>-15</v>
      </c>
      <c r="AC54" s="41">
        <f>+_xlfn.XLOOKUP($C54,$C$72:$C$105,AC$72:AC$105,"")</f>
        <v>60</v>
      </c>
      <c r="AD54" s="41">
        <f>+_xlfn.XLOOKUP($C54,$C$72:$C$105,AD$72:AD$105,"")</f>
        <v>-30</v>
      </c>
      <c r="AE54" s="41">
        <f>+_xlfn.XLOOKUP($C54,$C$72:$C$105,AE$72:AE$105,"")</f>
        <v>-20</v>
      </c>
      <c r="AF54" s="41">
        <f>+_xlfn.XLOOKUP($C54,$C$72:$C$105,AF$72:AF$105,"")</f>
        <v>90</v>
      </c>
      <c r="AG54" s="41">
        <f>+_xlfn.XLOOKUP($C54,$C$72:$C$105,AG$72:AG$105,"")</f>
        <v>-15</v>
      </c>
      <c r="AH54" s="41">
        <f>+_xlfn.XLOOKUP($C54,$C$72:$C$105,AH$72:AH$105,"")</f>
        <v>-15</v>
      </c>
      <c r="AI54" s="41">
        <f>+_xlfn.XLOOKUP($C54,$C$72:$C$105,AI$72:AI$105,"")</f>
        <v>0</v>
      </c>
      <c r="AJ54" s="41">
        <f>+_xlfn.XLOOKUP($C54,$C$72:$C$105,AJ$72:AJ$105,"")</f>
        <v>-15</v>
      </c>
      <c r="AK54" s="41">
        <f>+_xlfn.XLOOKUP($C54,$C$72:$C$105,AK$72:AK$105,"")</f>
        <v>60</v>
      </c>
      <c r="AL54" s="41">
        <f>+_xlfn.XLOOKUP($C54,$C$72:$C$105,AL$72:AL$105,"")</f>
        <v>-15</v>
      </c>
      <c r="AM54" s="41">
        <f>+_xlfn.XLOOKUP($C54,$C$72:$C$105,AM$72:AM$105,"")</f>
        <v>60</v>
      </c>
      <c r="AN54" s="41">
        <f>+_xlfn.XLOOKUP($C54,$C$72:$C$105,AN$72:AN$105,"")</f>
        <v>-30</v>
      </c>
      <c r="AO54" s="41">
        <f>+_xlfn.XLOOKUP($C54,$C$72:$C$105,AO$72:AO$105,"")</f>
        <v>-10</v>
      </c>
      <c r="AP54" s="41">
        <f>+_xlfn.XLOOKUP($C54,$C$72:$C$105,AP$72:AP$105,"")</f>
        <v>60</v>
      </c>
      <c r="AQ54" s="41">
        <f>+_xlfn.XLOOKUP($C54,$C$72:$C$105,AQ$72:AQ$105,"")</f>
        <v>-15</v>
      </c>
      <c r="AR54" s="41">
        <f>+_xlfn.XLOOKUP($C54,$C$72:$C$105,AR$72:AR$105,"")</f>
        <v>-15</v>
      </c>
      <c r="AS54" s="41">
        <f>+_xlfn.XLOOKUP($C54,$C$72:$C$105,AS$72:AS$105,"")</f>
        <v>73.625</v>
      </c>
      <c r="AT54" s="41">
        <f>+_xlfn.XLOOKUP($C54,$C$72:$C$105,AT$72:AT$105,"")</f>
        <v>-15</v>
      </c>
      <c r="AU54" s="41">
        <f>+_xlfn.XLOOKUP($C54,$C$72:$C$105,AU$72:AU$105,"")</f>
        <v>-15</v>
      </c>
      <c r="AV54" s="41">
        <f>+_xlfn.XLOOKUP($C54,$C$72:$C$105,AV$72:AV$105,"")</f>
        <v>165</v>
      </c>
      <c r="AW54" s="41">
        <f>+_xlfn.XLOOKUP($C54,$C$72:$C$105,AW$72:AW$105,"")</f>
        <v>-30</v>
      </c>
      <c r="AX54" s="41">
        <f>+_xlfn.XLOOKUP($C54,$C$72:$C$105,AX$72:AX$105,"")</f>
        <v>60</v>
      </c>
      <c r="AY54" s="41">
        <f>+_xlfn.XLOOKUP($C54,$C$72:$C$105,AY$72:AY$105,"")</f>
        <v>-15</v>
      </c>
      <c r="AZ54" s="41">
        <f>+_xlfn.XLOOKUP($C54,$C$72:$C$105,AZ$72:AZ$105,"")</f>
        <v>-20</v>
      </c>
      <c r="BA54" s="41">
        <f>+_xlfn.XLOOKUP($C54,$C$72:$C$105,BA$72:BA$105,"")</f>
        <v>-20</v>
      </c>
      <c r="BB54" s="41">
        <f>+_xlfn.XLOOKUP($C54,$C$72:$C$105,BB$72:BB$105,"")</f>
        <v>-40</v>
      </c>
      <c r="BC54" s="41">
        <f>+_xlfn.XLOOKUP($C54,$C$72:$C$105,BC$72:BC$105,"")</f>
        <v>100</v>
      </c>
      <c r="BD54" s="41">
        <f>+_xlfn.XLOOKUP($C54,$C$72:$C$105,BD$72:BD$105,"")</f>
        <v>-60</v>
      </c>
      <c r="BE54" s="41">
        <f>+_xlfn.XLOOKUP($C54,$C$72:$C$105,BE$72:BE$105,"")</f>
        <v>-10</v>
      </c>
      <c r="BF54" s="41">
        <f>+_xlfn.XLOOKUP($C54,$C$72:$C$105,BF$72:BF$105,"")</f>
        <v>-10</v>
      </c>
      <c r="BG54" s="41">
        <f>+_xlfn.XLOOKUP($C54,$C$72:$C$105,BG$72:BG$105,"")</f>
        <v>-15</v>
      </c>
      <c r="BH54" s="41">
        <f>+_xlfn.XLOOKUP($C54,$C$72:$C$105,BH$72:BH$105,"")</f>
        <v>-40</v>
      </c>
      <c r="BI54" s="41">
        <f>+_xlfn.XLOOKUP($C54,$C$72:$C$105,BI$72:BI$105,"")</f>
        <v>-20</v>
      </c>
      <c r="BJ54" s="41">
        <f>+_xlfn.XLOOKUP($C54,$C$72:$C$105,BJ$72:BJ$105,"")</f>
        <v>-20</v>
      </c>
      <c r="BK54" s="41">
        <f>+_xlfn.XLOOKUP($C54,$C$72:$C$105,BK$72:BK$105,"")</f>
        <v>-20</v>
      </c>
      <c r="BL54" s="41">
        <f>+_xlfn.XLOOKUP($C54,$C$72:$C$105,BL$72:BL$105,"")</f>
        <v>25</v>
      </c>
      <c r="BM54" s="41">
        <f>+_xlfn.XLOOKUP($C54,$C$72:$C$105,BM$72:BM$105,"")</f>
        <v>-40</v>
      </c>
      <c r="BN54" s="41">
        <f>+_xlfn.XLOOKUP($C54,$C$72:$C$105,BN$72:BN$105,"")</f>
        <v>80</v>
      </c>
      <c r="BO54" s="41">
        <f>+_xlfn.XLOOKUP($C54,$C$72:$C$105,BO$72:BO$105,"")</f>
        <v>-20</v>
      </c>
      <c r="BP54" s="41">
        <f>+_xlfn.XLOOKUP($C54,$C$72:$C$105,BP$72:BP$105,"")</f>
        <v>-40</v>
      </c>
      <c r="BQ54" s="41">
        <f>+_xlfn.XLOOKUP($C54,$C$72:$C$105,BQ$72:BQ$105,"")</f>
        <v>140</v>
      </c>
      <c r="BR54" s="41">
        <f>+_xlfn.XLOOKUP($C54,$C$72:$C$105,BR$72:BR$105,"")</f>
        <v>-20</v>
      </c>
      <c r="BS54" s="41">
        <f>+_xlfn.XLOOKUP($C54,$C$72:$C$105,BS$72:BS$105,"")</f>
        <v>-80</v>
      </c>
      <c r="BT54" s="41">
        <f>+_xlfn.XLOOKUP($C54,$C$72:$C$105,BT$72:BT$105,"")</f>
        <v>-40</v>
      </c>
      <c r="BU54" s="41">
        <f>+_xlfn.XLOOKUP($C54,$C$72:$C$105,BU$72:BU$105,"")</f>
        <v>-20</v>
      </c>
      <c r="BV54" s="41">
        <f>+_xlfn.XLOOKUP($C54,$C$72:$C$105,BV$72:BV$105,"")</f>
        <v>-20</v>
      </c>
      <c r="BW54" s="41">
        <f>+_xlfn.XLOOKUP($C54,$C$72:$C$105,BW$72:BW$105,"")</f>
        <v>-20</v>
      </c>
      <c r="BX54" s="41">
        <f>+_xlfn.XLOOKUP($C54,$C$72:$C$105,BX$72:BX$105,"")</f>
        <v>-30</v>
      </c>
      <c r="BY54" s="41">
        <f>+_xlfn.XLOOKUP($C54,$C$72:$C$105,BY$72:BY$105,"")</f>
        <v>30</v>
      </c>
      <c r="BZ54" s="41">
        <f>+_xlfn.XLOOKUP($C54,$C$72:$C$105,BZ$72:BZ$105,"")</f>
        <v>-40</v>
      </c>
      <c r="CA54" s="41">
        <f>+_xlfn.XLOOKUP($C54,$C$72:$C$105,CA$72:CA$105,"")</f>
        <v>7</v>
      </c>
      <c r="CB54" s="41">
        <f>+_xlfn.XLOOKUP($C54,$C$72:$C$105,CB$72:CB$105,"")</f>
        <v>-20</v>
      </c>
      <c r="CC54" s="41">
        <f>+_xlfn.XLOOKUP($C54,$C$72:$C$105,CC$72:CC$105,"")</f>
        <v>-20</v>
      </c>
      <c r="CD54" s="41">
        <f>+_xlfn.XLOOKUP($C54,$C$72:$C$105,CD$72:CD$105,"")</f>
        <v>156</v>
      </c>
      <c r="CE54" s="41" t="str">
        <f>+_xlfn.XLOOKUP($C54,$C$72:$C$105,CE$72:CE$105,"")</f>
        <v/>
      </c>
      <c r="CF54" s="41">
        <f>+_xlfn.XLOOKUP($C54,$C$72:$C$105,CF$72:CF$105,"")</f>
        <v>-50</v>
      </c>
      <c r="CG54" s="41">
        <f>+_xlfn.XLOOKUP($C54,$C$72:$C$105,CG$72:CG$105,"")</f>
        <v>-90</v>
      </c>
      <c r="CH54" s="41">
        <f>+_xlfn.XLOOKUP($C54,$C$72:$C$105,CH$72:CH$105,"")</f>
        <v>-60</v>
      </c>
      <c r="CI54" s="41">
        <f>+_xlfn.XLOOKUP($C54,$C$72:$C$105,CI$72:CI$105,"")</f>
        <v>-60</v>
      </c>
      <c r="CJ54" s="41">
        <f>+_xlfn.XLOOKUP($C54,$C$72:$C$105,CJ$72:CJ$105,"")</f>
        <v>-20</v>
      </c>
      <c r="CK54" s="41">
        <f>+_xlfn.XLOOKUP($C54,$C$72:$C$105,CK$72:CK$105,"")</f>
        <v>18.75</v>
      </c>
      <c r="CL54" s="41">
        <f>+_xlfn.XLOOKUP($C54,$C$72:$C$105,CL$72:CL$105,"")</f>
        <v>-30</v>
      </c>
      <c r="CM54" s="41">
        <f>+_xlfn.XLOOKUP($C54,$C$72:$C$105,CM$72:CM$105,"")</f>
        <v>-30</v>
      </c>
      <c r="CN54" s="41">
        <f>+_xlfn.XLOOKUP($C54,$C$72:$C$105,CN$72:CN$105,"")</f>
        <v>-90</v>
      </c>
      <c r="CO54" s="42"/>
      <c r="CP54" s="29">
        <f>+_xlfn.XLOOKUP($C54,$C$72:$C$105,CP$72:CP$105,"")</f>
        <v>-114.625</v>
      </c>
      <c r="CQ54" s="41"/>
      <c r="CR54" s="30">
        <f>+_xlfn.XLOOKUP($C54,$C$72:$C$105,CR$72:CR$105,"")</f>
        <v>-5.2822580645161321E-2</v>
      </c>
      <c r="CS54" s="31">
        <f>+_xlfn.XLOOKUP($C54,$C$72:$C$105,CS$72:CS$105,"")</f>
        <v>85</v>
      </c>
      <c r="CT54" s="31">
        <f>+_xlfn.XLOOKUP($C54,$C$72:$C$105,CT$72:CT$105,"")</f>
        <v>22</v>
      </c>
      <c r="CU54" s="30">
        <f>+_xlfn.XLOOKUP($C54,$C$72:$C$105,CU$72:CU$105,"")</f>
        <v>0.25882352941176473</v>
      </c>
      <c r="CV54" s="30">
        <f>+_xlfn.XLOOKUP($C54,$C$72:$C$105,CV$72:CV$105,"")</f>
        <v>0.16489473933333706</v>
      </c>
      <c r="CW54" s="30">
        <f>+_xlfn.XLOOKUP($C54,$C$72:$C$105,CW$72:CW$105,"")</f>
        <v>0.17409065710799315</v>
      </c>
      <c r="CX54" s="32">
        <f>+_xlfn.XLOOKUP($C54,$C$72:$C$105,CX$72:CX$105,"")</f>
        <v>-1.348529411764706</v>
      </c>
    </row>
    <row r="55" spans="2:102" ht="12.75" customHeight="1" x14ac:dyDescent="0.2">
      <c r="B55" s="83">
        <f t="shared" si="94"/>
        <v>28</v>
      </c>
      <c r="C55" s="33" t="str">
        <v>Juho Korhonen</v>
      </c>
      <c r="D55" s="34">
        <f>+_xlfn.XLOOKUP($C55,$C$72:$C$105,D$72:D$105,"")</f>
        <v>-10</v>
      </c>
      <c r="E55" s="34">
        <f>+_xlfn.XLOOKUP($C55,$C$72:$C$105,E$72:E$105,"")</f>
        <v>70</v>
      </c>
      <c r="F55" s="34">
        <f>+_xlfn.XLOOKUP($C55,$C$72:$C$105,F$72:F$105,"")</f>
        <v>-10</v>
      </c>
      <c r="G55" s="34">
        <f>+_xlfn.XLOOKUP($C55,$C$72:$C$105,G$72:G$105,"")</f>
        <v>-10</v>
      </c>
      <c r="H55" s="34" t="str">
        <f>+_xlfn.XLOOKUP($C55,$C$72:$C$105,H$72:H$105,"")</f>
        <v/>
      </c>
      <c r="I55" s="34">
        <f>+_xlfn.XLOOKUP($C55,$C$72:$C$105,I$72:I$105,"")</f>
        <v>-15</v>
      </c>
      <c r="J55" s="34">
        <f>+_xlfn.XLOOKUP($C55,$C$72:$C$105,J$72:J$105,"")</f>
        <v>75</v>
      </c>
      <c r="K55" s="34" t="str">
        <f>+_xlfn.XLOOKUP($C55,$C$72:$C$105,K$72:K$105,"")</f>
        <v/>
      </c>
      <c r="L55" s="34">
        <f>+_xlfn.XLOOKUP($C55,$C$72:$C$105,L$72:L$105,"")</f>
        <v>-15</v>
      </c>
      <c r="M55" s="34" t="str">
        <f>+_xlfn.XLOOKUP($C55,$C$72:$C$105,M$72:M$105,"")</f>
        <v/>
      </c>
      <c r="N55" s="34" t="str">
        <f>+_xlfn.XLOOKUP($C55,$C$72:$C$105,N$72:N$105,"")</f>
        <v/>
      </c>
      <c r="O55" s="34">
        <f>+_xlfn.XLOOKUP($C55,$C$72:$C$105,O$72:O$105,"")</f>
        <v>-15</v>
      </c>
      <c r="P55" s="34">
        <f>+_xlfn.XLOOKUP($C55,$C$72:$C$105,P$72:P$105,"")</f>
        <v>-30</v>
      </c>
      <c r="Q55" s="34">
        <f>+_xlfn.XLOOKUP($C55,$C$72:$C$105,Q$72:Q$105,"")</f>
        <v>-15</v>
      </c>
      <c r="R55" s="34">
        <f>+_xlfn.XLOOKUP($C55,$C$72:$C$105,R$72:R$105,"")</f>
        <v>75</v>
      </c>
      <c r="S55" s="34">
        <f>+_xlfn.XLOOKUP($C55,$C$72:$C$105,S$72:S$105,"")</f>
        <v>-15</v>
      </c>
      <c r="T55" s="34">
        <f>+_xlfn.XLOOKUP($C55,$C$72:$C$105,T$72:T$105,"")</f>
        <v>-30</v>
      </c>
      <c r="U55" s="34">
        <f>+_xlfn.XLOOKUP($C55,$C$72:$C$105,U$72:U$105,"")</f>
        <v>-15</v>
      </c>
      <c r="V55" s="34">
        <f>+_xlfn.XLOOKUP($C55,$C$72:$C$105,V$72:V$105,"")</f>
        <v>-15</v>
      </c>
      <c r="W55" s="34">
        <f>+_xlfn.XLOOKUP($C55,$C$72:$C$105,W$72:W$105,"")</f>
        <v>-15</v>
      </c>
      <c r="X55" s="34">
        <f>+_xlfn.XLOOKUP($C55,$C$72:$C$105,X$72:X$105,"")</f>
        <v>-30</v>
      </c>
      <c r="Y55" s="34">
        <f>+_xlfn.XLOOKUP($C55,$C$72:$C$105,Y$72:Y$105,"")</f>
        <v>-30</v>
      </c>
      <c r="Z55" s="34">
        <f>+_xlfn.XLOOKUP($C55,$C$72:$C$105,Z$72:Z$105,"")</f>
        <v>-15</v>
      </c>
      <c r="AA55" s="34">
        <f>+_xlfn.XLOOKUP($C55,$C$72:$C$105,AA$72:AA$105,"")</f>
        <v>-15</v>
      </c>
      <c r="AB55" s="34">
        <f>+_xlfn.XLOOKUP($C55,$C$72:$C$105,AB$72:AB$105,"")</f>
        <v>-15</v>
      </c>
      <c r="AC55" s="34">
        <f>+_xlfn.XLOOKUP($C55,$C$72:$C$105,AC$72:AC$105,"")</f>
        <v>-15</v>
      </c>
      <c r="AD55" s="34">
        <f>+_xlfn.XLOOKUP($C55,$C$72:$C$105,AD$72:AD$105,"")</f>
        <v>60</v>
      </c>
      <c r="AE55" s="34">
        <f>+_xlfn.XLOOKUP($C55,$C$72:$C$105,AE$72:AE$105,"")</f>
        <v>100</v>
      </c>
      <c r="AF55" s="34">
        <f>+_xlfn.XLOOKUP($C55,$C$72:$C$105,AF$72:AF$105,"")</f>
        <v>-30</v>
      </c>
      <c r="AG55" s="34">
        <f>+_xlfn.XLOOKUP($C55,$C$72:$C$105,AG$72:AG$105,"")</f>
        <v>45</v>
      </c>
      <c r="AH55" s="34">
        <f>+_xlfn.XLOOKUP($C55,$C$72:$C$105,AH$72:AH$105,"")</f>
        <v>-30</v>
      </c>
      <c r="AI55" s="34">
        <f>+_xlfn.XLOOKUP($C55,$C$72:$C$105,AI$72:AI$105,"")</f>
        <v>-45</v>
      </c>
      <c r="AJ55" s="34">
        <f>+_xlfn.XLOOKUP($C55,$C$72:$C$105,AJ$72:AJ$105,"")</f>
        <v>-30</v>
      </c>
      <c r="AK55" s="34">
        <f>+_xlfn.XLOOKUP($C55,$C$72:$C$105,AK$72:AK$105,"")</f>
        <v>-10</v>
      </c>
      <c r="AL55" s="34">
        <f>+_xlfn.XLOOKUP($C55,$C$72:$C$105,AL$72:AL$105,"")</f>
        <v>-30</v>
      </c>
      <c r="AM55" s="34">
        <f>+_xlfn.XLOOKUP($C55,$C$72:$C$105,AM$72:AM$105,"")</f>
        <v>-15</v>
      </c>
      <c r="AN55" s="34">
        <f>+_xlfn.XLOOKUP($C55,$C$72:$C$105,AN$72:AN$105,"")</f>
        <v>-15</v>
      </c>
      <c r="AO55" s="34">
        <f>+_xlfn.XLOOKUP($C55,$C$72:$C$105,AO$72:AO$105,"")</f>
        <v>-10</v>
      </c>
      <c r="AP55" s="34">
        <f>+_xlfn.XLOOKUP($C55,$C$72:$C$105,AP$72:AP$105,"")</f>
        <v>-30</v>
      </c>
      <c r="AQ55" s="34">
        <f>+_xlfn.XLOOKUP($C55,$C$72:$C$105,AQ$72:AQ$105,"")</f>
        <v>-15</v>
      </c>
      <c r="AR55" s="34">
        <f>+_xlfn.XLOOKUP($C55,$C$72:$C$105,AR$72:AR$105,"")</f>
        <v>-15</v>
      </c>
      <c r="AS55" s="34">
        <f>+_xlfn.XLOOKUP($C55,$C$72:$C$105,AS$72:AS$105,"")</f>
        <v>-60</v>
      </c>
      <c r="AT55" s="34" t="str">
        <f>+_xlfn.XLOOKUP($C55,$C$72:$C$105,AT$72:AT$105,"")</f>
        <v/>
      </c>
      <c r="AU55" s="34" t="str">
        <f>+_xlfn.XLOOKUP($C55,$C$72:$C$105,AU$72:AU$105,"")</f>
        <v/>
      </c>
      <c r="AV55" s="34" t="str">
        <f>+_xlfn.XLOOKUP($C55,$C$72:$C$105,AV$72:AV$105,"")</f>
        <v/>
      </c>
      <c r="AW55" s="34">
        <f>+_xlfn.XLOOKUP($C55,$C$72:$C$105,AW$72:AW$105,"")</f>
        <v>9</v>
      </c>
      <c r="AX55" s="34">
        <f>+_xlfn.XLOOKUP($C55,$C$72:$C$105,AX$72:AX$105,"")</f>
        <v>-15</v>
      </c>
      <c r="AY55" s="34">
        <f>+_xlfn.XLOOKUP($C55,$C$72:$C$105,AY$72:AY$105,"")</f>
        <v>-15</v>
      </c>
      <c r="AZ55" s="34" t="str">
        <f>+_xlfn.XLOOKUP($C55,$C$72:$C$105,AZ$72:AZ$105,"")</f>
        <v/>
      </c>
      <c r="BA55" s="34" t="str">
        <f>+_xlfn.XLOOKUP($C55,$C$72:$C$105,BA$72:BA$105,"")</f>
        <v/>
      </c>
      <c r="BB55" s="34" t="str">
        <f>+_xlfn.XLOOKUP($C55,$C$72:$C$105,BB$72:BB$105,"")</f>
        <v/>
      </c>
      <c r="BC55" s="34">
        <f>+_xlfn.XLOOKUP($C55,$C$72:$C$105,BC$72:BC$105,"")</f>
        <v>-20</v>
      </c>
      <c r="BD55" s="34" t="str">
        <f>+_xlfn.XLOOKUP($C55,$C$72:$C$105,BD$72:BD$105,"")</f>
        <v/>
      </c>
      <c r="BE55" s="34" t="str">
        <f>+_xlfn.XLOOKUP($C55,$C$72:$C$105,BE$72:BE$105,"")</f>
        <v/>
      </c>
      <c r="BF55" s="34">
        <f>+_xlfn.XLOOKUP($C55,$C$72:$C$105,BF$72:BF$105,"")</f>
        <v>-10</v>
      </c>
      <c r="BG55" s="34" t="str">
        <f>+_xlfn.XLOOKUP($C55,$C$72:$C$105,BG$72:BG$105,"")</f>
        <v/>
      </c>
      <c r="BH55" s="34" t="str">
        <f>+_xlfn.XLOOKUP($C55,$C$72:$C$105,BH$72:BH$105,"")</f>
        <v/>
      </c>
      <c r="BI55" s="34">
        <f>+_xlfn.XLOOKUP($C55,$C$72:$C$105,BI$72:BI$105,"")</f>
        <v>80</v>
      </c>
      <c r="BJ55" s="34" t="str">
        <f>+_xlfn.XLOOKUP($C55,$C$72:$C$105,BJ$72:BJ$105,"")</f>
        <v/>
      </c>
      <c r="BK55" s="34">
        <f>+_xlfn.XLOOKUP($C55,$C$72:$C$105,BK$72:BK$105,"")</f>
        <v>-20</v>
      </c>
      <c r="BL55" s="34" t="str">
        <f>+_xlfn.XLOOKUP($C55,$C$72:$C$105,BL$72:BL$105,"")</f>
        <v/>
      </c>
      <c r="BM55" s="34">
        <f>+_xlfn.XLOOKUP($C55,$C$72:$C$105,BM$72:BM$105,"")</f>
        <v>-40</v>
      </c>
      <c r="BN55" s="34" t="str">
        <f>+_xlfn.XLOOKUP($C55,$C$72:$C$105,BN$72:BN$105,"")</f>
        <v/>
      </c>
      <c r="BO55" s="34" t="str">
        <f>+_xlfn.XLOOKUP($C55,$C$72:$C$105,BO$72:BO$105,"")</f>
        <v/>
      </c>
      <c r="BP55" s="34">
        <f>+_xlfn.XLOOKUP($C55,$C$72:$C$105,BP$72:BP$105,"")</f>
        <v>-20</v>
      </c>
      <c r="BQ55" s="34" t="str">
        <f>+_xlfn.XLOOKUP($C55,$C$72:$C$105,BQ$72:BQ$105,"")</f>
        <v/>
      </c>
      <c r="BR55" s="34">
        <f>+_xlfn.XLOOKUP($C55,$C$72:$C$105,BR$72:BR$105,"")</f>
        <v>160</v>
      </c>
      <c r="BS55" s="34" t="str">
        <f>+_xlfn.XLOOKUP($C55,$C$72:$C$105,BS$72:BS$105,"")</f>
        <v/>
      </c>
      <c r="BT55" s="34" t="str">
        <f>+_xlfn.XLOOKUP($C55,$C$72:$C$105,BT$72:BT$105,"")</f>
        <v/>
      </c>
      <c r="BU55" s="34" t="str">
        <f>+_xlfn.XLOOKUP($C55,$C$72:$C$105,BU$72:BU$105,"")</f>
        <v/>
      </c>
      <c r="BV55" s="34">
        <f>+_xlfn.XLOOKUP($C55,$C$72:$C$105,BV$72:BV$105,"")</f>
        <v>-20</v>
      </c>
      <c r="BW55" s="34" t="str">
        <f>+_xlfn.XLOOKUP($C55,$C$72:$C$105,BW$72:BW$105,"")</f>
        <v/>
      </c>
      <c r="BX55" s="34" t="str">
        <f>+_xlfn.XLOOKUP($C55,$C$72:$C$105,BX$72:BX$105,"")</f>
        <v/>
      </c>
      <c r="BY55" s="34" t="str">
        <f>+_xlfn.XLOOKUP($C55,$C$72:$C$105,BY$72:BY$105,"")</f>
        <v/>
      </c>
      <c r="BZ55" s="34" t="str">
        <f>+_xlfn.XLOOKUP($C55,$C$72:$C$105,BZ$72:BZ$105,"")</f>
        <v/>
      </c>
      <c r="CA55" s="34" t="str">
        <f>+_xlfn.XLOOKUP($C55,$C$72:$C$105,CA$72:CA$105,"")</f>
        <v/>
      </c>
      <c r="CB55" s="34">
        <f>+_xlfn.XLOOKUP($C55,$C$72:$C$105,CB$72:CB$105,"")</f>
        <v>-40</v>
      </c>
      <c r="CC55" s="34" t="str">
        <f>+_xlfn.XLOOKUP($C55,$C$72:$C$105,CC$72:CC$105,"")</f>
        <v/>
      </c>
      <c r="CD55" s="34" t="str">
        <f>+_xlfn.XLOOKUP($C55,$C$72:$C$105,CD$72:CD$105,"")</f>
        <v/>
      </c>
      <c r="CE55" s="34" t="str">
        <f>+_xlfn.XLOOKUP($C55,$C$72:$C$105,CE$72:CE$105,"")</f>
        <v/>
      </c>
      <c r="CF55" s="34" t="str">
        <f>+_xlfn.XLOOKUP($C55,$C$72:$C$105,CF$72:CF$105,"")</f>
        <v/>
      </c>
      <c r="CG55" s="34" t="str">
        <f>+_xlfn.XLOOKUP($C55,$C$72:$C$105,CG$72:CG$105,"")</f>
        <v/>
      </c>
      <c r="CH55" s="34" t="str">
        <f>+_xlfn.XLOOKUP($C55,$C$72:$C$105,CH$72:CH$105,"")</f>
        <v/>
      </c>
      <c r="CI55" s="34" t="str">
        <f>+_xlfn.XLOOKUP($C55,$C$72:$C$105,CI$72:CI$105,"")</f>
        <v/>
      </c>
      <c r="CJ55" s="34" t="str">
        <f>+_xlfn.XLOOKUP($C55,$C$72:$C$105,CJ$72:CJ$105,"")</f>
        <v/>
      </c>
      <c r="CK55" s="34" t="str">
        <f>+_xlfn.XLOOKUP($C55,$C$72:$C$105,CK$72:CK$105,"")</f>
        <v/>
      </c>
      <c r="CL55" s="34" t="str">
        <f>+_xlfn.XLOOKUP($C55,$C$72:$C$105,CL$72:CL$105,"")</f>
        <v/>
      </c>
      <c r="CM55" s="34" t="str">
        <f>+_xlfn.XLOOKUP($C55,$C$72:$C$105,CM$72:CM$105,"")</f>
        <v/>
      </c>
      <c r="CN55" s="34" t="str">
        <f>+_xlfn.XLOOKUP($C55,$C$72:$C$105,CN$72:CN$105,"")</f>
        <v/>
      </c>
      <c r="CO55" s="35"/>
      <c r="CP55" s="36">
        <f>+_xlfn.XLOOKUP($C55,$C$72:$C$105,CP$72:CP$105,"")</f>
        <v>-191</v>
      </c>
      <c r="CQ55" s="34"/>
      <c r="CR55" s="37">
        <f>+_xlfn.XLOOKUP($C55,$C$72:$C$105,CR$72:CR$105,"")</f>
        <v>-0.18277511961722492</v>
      </c>
      <c r="CS55" s="38">
        <f>+_xlfn.XLOOKUP($C55,$C$72:$C$105,CS$72:CS$105,"")</f>
        <v>50</v>
      </c>
      <c r="CT55" s="38">
        <f>+_xlfn.XLOOKUP($C55,$C$72:$C$105,CT$72:CT$105,"")</f>
        <v>9</v>
      </c>
      <c r="CU55" s="37">
        <f>+_xlfn.XLOOKUP($C55,$C$72:$C$105,CU$72:CU$105,"")</f>
        <v>0.18</v>
      </c>
      <c r="CV55" s="37">
        <f>+_xlfn.XLOOKUP($C55,$C$72:$C$105,CV$72:CV$105,"")</f>
        <v>0.14674119423963489</v>
      </c>
      <c r="CW55" s="37">
        <f>+_xlfn.XLOOKUP($C55,$C$72:$C$105,CW$72:CW$105,"")</f>
        <v>0.1795603606328085</v>
      </c>
      <c r="CX55" s="39">
        <f>+_xlfn.XLOOKUP($C55,$C$72:$C$105,CX$72:CX$105,"")</f>
        <v>-3.82</v>
      </c>
    </row>
    <row r="56" spans="2:102" ht="12.75" customHeight="1" x14ac:dyDescent="0.2">
      <c r="B56" s="84">
        <f t="shared" si="94"/>
        <v>29</v>
      </c>
      <c r="C56" s="40" t="str">
        <v>Tuomas Järvelä</v>
      </c>
      <c r="D56" s="41" t="str">
        <f>+_xlfn.XLOOKUP($C56,$C$72:$C$105,D$72:D$105,"")</f>
        <v/>
      </c>
      <c r="E56" s="41">
        <f>+_xlfn.XLOOKUP($C56,$C$72:$C$105,E$72:E$105,"")</f>
        <v>-10</v>
      </c>
      <c r="F56" s="41">
        <f>+_xlfn.XLOOKUP($C56,$C$72:$C$105,F$72:F$105,"")</f>
        <v>-10</v>
      </c>
      <c r="G56" s="41" t="str">
        <f>+_xlfn.XLOOKUP($C56,$C$72:$C$105,G$72:G$105,"")</f>
        <v/>
      </c>
      <c r="H56" s="41">
        <f>+_xlfn.XLOOKUP($C56,$C$72:$C$105,H$72:H$105,"")</f>
        <v>-15</v>
      </c>
      <c r="I56" s="41" t="str">
        <f>+_xlfn.XLOOKUP($C56,$C$72:$C$105,I$72:I$105,"")</f>
        <v/>
      </c>
      <c r="J56" s="41">
        <f>+_xlfn.XLOOKUP($C56,$C$72:$C$105,J$72:J$105,"")</f>
        <v>-15</v>
      </c>
      <c r="K56" s="41" t="str">
        <f>+_xlfn.XLOOKUP($C56,$C$72:$C$105,K$72:K$105,"")</f>
        <v/>
      </c>
      <c r="L56" s="41">
        <f>+_xlfn.XLOOKUP($C56,$C$72:$C$105,L$72:L$105,"")</f>
        <v>-15</v>
      </c>
      <c r="M56" s="41" t="str">
        <f>+_xlfn.XLOOKUP($C56,$C$72:$C$105,M$72:M$105,"")</f>
        <v/>
      </c>
      <c r="N56" s="41" t="str">
        <f>+_xlfn.XLOOKUP($C56,$C$72:$C$105,N$72:N$105,"")</f>
        <v/>
      </c>
      <c r="O56" s="41" t="str">
        <f>+_xlfn.XLOOKUP($C56,$C$72:$C$105,O$72:O$105,"")</f>
        <v/>
      </c>
      <c r="P56" s="41">
        <f>+_xlfn.XLOOKUP($C56,$C$72:$C$105,P$72:P$105,"")</f>
        <v>-15</v>
      </c>
      <c r="Q56" s="41" t="str">
        <f>+_xlfn.XLOOKUP($C56,$C$72:$C$105,Q$72:Q$105,"")</f>
        <v/>
      </c>
      <c r="R56" s="41" t="str">
        <f>+_xlfn.XLOOKUP($C56,$C$72:$C$105,R$72:R$105,"")</f>
        <v/>
      </c>
      <c r="S56" s="41" t="str">
        <f>+_xlfn.XLOOKUP($C56,$C$72:$C$105,S$72:S$105,"")</f>
        <v/>
      </c>
      <c r="T56" s="41">
        <f>+_xlfn.XLOOKUP($C56,$C$72:$C$105,T$72:T$105,"")</f>
        <v>-30</v>
      </c>
      <c r="U56" s="41" t="str">
        <f>+_xlfn.XLOOKUP($C56,$C$72:$C$105,U$72:U$105,"")</f>
        <v/>
      </c>
      <c r="V56" s="41">
        <f>+_xlfn.XLOOKUP($C56,$C$72:$C$105,V$72:V$105,"")</f>
        <v>-15</v>
      </c>
      <c r="W56" s="41" t="str">
        <f>+_xlfn.XLOOKUP($C56,$C$72:$C$105,W$72:W$105,"")</f>
        <v/>
      </c>
      <c r="X56" s="41" t="str">
        <f>+_xlfn.XLOOKUP($C56,$C$72:$C$105,X$72:X$105,"")</f>
        <v/>
      </c>
      <c r="Y56" s="41" t="str">
        <f>+_xlfn.XLOOKUP($C56,$C$72:$C$105,Y$72:Y$105,"")</f>
        <v/>
      </c>
      <c r="Z56" s="41" t="str">
        <f>+_xlfn.XLOOKUP($C56,$C$72:$C$105,Z$72:Z$105,"")</f>
        <v/>
      </c>
      <c r="AA56" s="41">
        <f>+_xlfn.XLOOKUP($C56,$C$72:$C$105,AA$72:AA$105,"")</f>
        <v>-15</v>
      </c>
      <c r="AB56" s="41" t="str">
        <f>+_xlfn.XLOOKUP($C56,$C$72:$C$105,AB$72:AB$105,"")</f>
        <v/>
      </c>
      <c r="AC56" s="41" t="str">
        <f>+_xlfn.XLOOKUP($C56,$C$72:$C$105,AC$72:AC$105,"")</f>
        <v/>
      </c>
      <c r="AD56" s="41" t="str">
        <f>+_xlfn.XLOOKUP($C56,$C$72:$C$105,AD$72:AD$105,"")</f>
        <v/>
      </c>
      <c r="AE56" s="41" t="str">
        <f>+_xlfn.XLOOKUP($C56,$C$72:$C$105,AE$72:AE$105,"")</f>
        <v/>
      </c>
      <c r="AF56" s="41" t="str">
        <f>+_xlfn.XLOOKUP($C56,$C$72:$C$105,AF$72:AF$105,"")</f>
        <v/>
      </c>
      <c r="AG56" s="41" t="str">
        <f>+_xlfn.XLOOKUP($C56,$C$72:$C$105,AG$72:AG$105,"")</f>
        <v/>
      </c>
      <c r="AH56" s="41" t="str">
        <f>+_xlfn.XLOOKUP($C56,$C$72:$C$105,AH$72:AH$105,"")</f>
        <v/>
      </c>
      <c r="AI56" s="41" t="str">
        <f>+_xlfn.XLOOKUP($C56,$C$72:$C$105,AI$72:AI$105,"")</f>
        <v/>
      </c>
      <c r="AJ56" s="41" t="str">
        <f>+_xlfn.XLOOKUP($C56,$C$72:$C$105,AJ$72:AJ$105,"")</f>
        <v/>
      </c>
      <c r="AK56" s="41" t="str">
        <f>+_xlfn.XLOOKUP($C56,$C$72:$C$105,AK$72:AK$105,"")</f>
        <v/>
      </c>
      <c r="AL56" s="41" t="str">
        <f>+_xlfn.XLOOKUP($C56,$C$72:$C$105,AL$72:AL$105,"")</f>
        <v/>
      </c>
      <c r="AM56" s="41" t="str">
        <f>+_xlfn.XLOOKUP($C56,$C$72:$C$105,AM$72:AM$105,"")</f>
        <v/>
      </c>
      <c r="AN56" s="41">
        <f>+_xlfn.XLOOKUP($C56,$C$72:$C$105,AN$72:AN$105,"")</f>
        <v>-30</v>
      </c>
      <c r="AO56" s="41">
        <f>+_xlfn.XLOOKUP($C56,$C$72:$C$105,AO$72:AO$105,"")</f>
        <v>40</v>
      </c>
      <c r="AP56" s="41" t="str">
        <f>+_xlfn.XLOOKUP($C56,$C$72:$C$105,AP$72:AP$105,"")</f>
        <v/>
      </c>
      <c r="AQ56" s="41">
        <f>+_xlfn.XLOOKUP($C56,$C$72:$C$105,AQ$72:AQ$105,"")</f>
        <v>-15</v>
      </c>
      <c r="AR56" s="41" t="str">
        <f>+_xlfn.XLOOKUP($C56,$C$72:$C$105,AR$72:AR$105,"")</f>
        <v/>
      </c>
      <c r="AS56" s="41" t="str">
        <f>+_xlfn.XLOOKUP($C56,$C$72:$C$105,AS$72:AS$105,"")</f>
        <v/>
      </c>
      <c r="AT56" s="41" t="str">
        <f>+_xlfn.XLOOKUP($C56,$C$72:$C$105,AT$72:AT$105,"")</f>
        <v/>
      </c>
      <c r="AU56" s="41">
        <f>+_xlfn.XLOOKUP($C56,$C$72:$C$105,AU$72:AU$105,"")</f>
        <v>-30</v>
      </c>
      <c r="AV56" s="41">
        <f>+_xlfn.XLOOKUP($C56,$C$72:$C$105,AV$72:AV$105,"")</f>
        <v>-30</v>
      </c>
      <c r="AW56" s="41" t="str">
        <f>+_xlfn.XLOOKUP($C56,$C$72:$C$105,AW$72:AW$105,"")</f>
        <v/>
      </c>
      <c r="AX56" s="41" t="str">
        <f>+_xlfn.XLOOKUP($C56,$C$72:$C$105,AX$72:AX$105,"")</f>
        <v/>
      </c>
      <c r="AY56" s="41" t="str">
        <f>+_xlfn.XLOOKUP($C56,$C$72:$C$105,AY$72:AY$105,"")</f>
        <v/>
      </c>
      <c r="AZ56" s="41" t="str">
        <f>+_xlfn.XLOOKUP($C56,$C$72:$C$105,AZ$72:AZ$105,"")</f>
        <v/>
      </c>
      <c r="BA56" s="41" t="str">
        <f>+_xlfn.XLOOKUP($C56,$C$72:$C$105,BA$72:BA$105,"")</f>
        <v/>
      </c>
      <c r="BB56" s="41" t="str">
        <f>+_xlfn.XLOOKUP($C56,$C$72:$C$105,BB$72:BB$105,"")</f>
        <v/>
      </c>
      <c r="BC56" s="41" t="str">
        <f>+_xlfn.XLOOKUP($C56,$C$72:$C$105,BC$72:BC$105,"")</f>
        <v/>
      </c>
      <c r="BD56" s="41" t="str">
        <f>+_xlfn.XLOOKUP($C56,$C$72:$C$105,BD$72:BD$105,"")</f>
        <v/>
      </c>
      <c r="BE56" s="41" t="str">
        <f>+_xlfn.XLOOKUP($C56,$C$72:$C$105,BE$72:BE$105,"")</f>
        <v/>
      </c>
      <c r="BF56" s="41" t="str">
        <f>+_xlfn.XLOOKUP($C56,$C$72:$C$105,BF$72:BF$105,"")</f>
        <v/>
      </c>
      <c r="BG56" s="41">
        <f>+_xlfn.XLOOKUP($C56,$C$72:$C$105,BG$72:BG$105,"")</f>
        <v>-15</v>
      </c>
      <c r="BH56" s="41">
        <f>+_xlfn.XLOOKUP($C56,$C$72:$C$105,BH$72:BH$105,"")</f>
        <v>20</v>
      </c>
      <c r="BI56" s="41" t="str">
        <f>+_xlfn.XLOOKUP($C56,$C$72:$C$105,BI$72:BI$105,"")</f>
        <v/>
      </c>
      <c r="BJ56" s="41" t="str">
        <f>+_xlfn.XLOOKUP($C56,$C$72:$C$105,BJ$72:BJ$105,"")</f>
        <v/>
      </c>
      <c r="BK56" s="41" t="str">
        <f>+_xlfn.XLOOKUP($C56,$C$72:$C$105,BK$72:BK$105,"")</f>
        <v/>
      </c>
      <c r="BL56" s="41" t="str">
        <f>+_xlfn.XLOOKUP($C56,$C$72:$C$105,BL$72:BL$105,"")</f>
        <v/>
      </c>
      <c r="BM56" s="41" t="str">
        <f>+_xlfn.XLOOKUP($C56,$C$72:$C$105,BM$72:BM$105,"")</f>
        <v/>
      </c>
      <c r="BN56" s="41" t="str">
        <f>+_xlfn.XLOOKUP($C56,$C$72:$C$105,BN$72:BN$105,"")</f>
        <v/>
      </c>
      <c r="BO56" s="41" t="str">
        <f>+_xlfn.XLOOKUP($C56,$C$72:$C$105,BO$72:BO$105,"")</f>
        <v/>
      </c>
      <c r="BP56" s="41" t="str">
        <f>+_xlfn.XLOOKUP($C56,$C$72:$C$105,BP$72:BP$105,"")</f>
        <v/>
      </c>
      <c r="BQ56" s="41" t="str">
        <f>+_xlfn.XLOOKUP($C56,$C$72:$C$105,BQ$72:BQ$105,"")</f>
        <v/>
      </c>
      <c r="BR56" s="41" t="str">
        <f>+_xlfn.XLOOKUP($C56,$C$72:$C$105,BR$72:BR$105,"")</f>
        <v/>
      </c>
      <c r="BS56" s="41" t="str">
        <f>+_xlfn.XLOOKUP($C56,$C$72:$C$105,BS$72:BS$105,"")</f>
        <v/>
      </c>
      <c r="BT56" s="41" t="str">
        <f>+_xlfn.XLOOKUP($C56,$C$72:$C$105,BT$72:BT$105,"")</f>
        <v/>
      </c>
      <c r="BU56" s="41" t="str">
        <f>+_xlfn.XLOOKUP($C56,$C$72:$C$105,BU$72:BU$105,"")</f>
        <v/>
      </c>
      <c r="BV56" s="41" t="str">
        <f>+_xlfn.XLOOKUP($C56,$C$72:$C$105,BV$72:BV$105,"")</f>
        <v/>
      </c>
      <c r="BW56" s="41" t="str">
        <f>+_xlfn.XLOOKUP($C56,$C$72:$C$105,BW$72:BW$105,"")</f>
        <v/>
      </c>
      <c r="BX56" s="41" t="str">
        <f>+_xlfn.XLOOKUP($C56,$C$72:$C$105,BX$72:BX$105,"")</f>
        <v/>
      </c>
      <c r="BY56" s="41" t="str">
        <f>+_xlfn.XLOOKUP($C56,$C$72:$C$105,BY$72:BY$105,"")</f>
        <v/>
      </c>
      <c r="BZ56" s="41" t="str">
        <f>+_xlfn.XLOOKUP($C56,$C$72:$C$105,BZ$72:BZ$105,"")</f>
        <v/>
      </c>
      <c r="CA56" s="41" t="str">
        <f>+_xlfn.XLOOKUP($C56,$C$72:$C$105,CA$72:CA$105,"")</f>
        <v/>
      </c>
      <c r="CB56" s="41" t="str">
        <f>+_xlfn.XLOOKUP($C56,$C$72:$C$105,CB$72:CB$105,"")</f>
        <v/>
      </c>
      <c r="CC56" s="41" t="str">
        <f>+_xlfn.XLOOKUP($C56,$C$72:$C$105,CC$72:CC$105,"")</f>
        <v/>
      </c>
      <c r="CD56" s="41" t="str">
        <f>+_xlfn.XLOOKUP($C56,$C$72:$C$105,CD$72:CD$105,"")</f>
        <v/>
      </c>
      <c r="CE56" s="41">
        <f>+_xlfn.XLOOKUP($C56,$C$72:$C$105,CE$72:CE$105,"")</f>
        <v>-20</v>
      </c>
      <c r="CF56" s="41" t="str">
        <f>+_xlfn.XLOOKUP($C56,$C$72:$C$105,CF$72:CF$105,"")</f>
        <v/>
      </c>
      <c r="CG56" s="41" t="str">
        <f>+_xlfn.XLOOKUP($C56,$C$72:$C$105,CG$72:CG$105,"")</f>
        <v/>
      </c>
      <c r="CH56" s="41" t="str">
        <f>+_xlfn.XLOOKUP($C56,$C$72:$C$105,CH$72:CH$105,"")</f>
        <v/>
      </c>
      <c r="CI56" s="41" t="str">
        <f>+_xlfn.XLOOKUP($C56,$C$72:$C$105,CI$72:CI$105,"")</f>
        <v/>
      </c>
      <c r="CJ56" s="41" t="str">
        <f>+_xlfn.XLOOKUP($C56,$C$72:$C$105,CJ$72:CJ$105,"")</f>
        <v/>
      </c>
      <c r="CK56" s="41">
        <f>+_xlfn.XLOOKUP($C56,$C$72:$C$105,CK$72:CK$105,"")</f>
        <v>-25</v>
      </c>
      <c r="CL56" s="41" t="str">
        <f>+_xlfn.XLOOKUP($C56,$C$72:$C$105,CL$72:CL$105,"")</f>
        <v/>
      </c>
      <c r="CM56" s="41" t="str">
        <f>+_xlfn.XLOOKUP($C56,$C$72:$C$105,CM$72:CM$105,"")</f>
        <v/>
      </c>
      <c r="CN56" s="41" t="str">
        <f>+_xlfn.XLOOKUP($C56,$C$72:$C$105,CN$72:CN$105,"")</f>
        <v/>
      </c>
      <c r="CO56" s="42"/>
      <c r="CP56" s="29">
        <f>+_xlfn.XLOOKUP($C56,$C$72:$C$105,CP$72:CP$105,"")</f>
        <v>-245</v>
      </c>
      <c r="CQ56" s="41"/>
      <c r="CR56" s="30">
        <f>+_xlfn.XLOOKUP($C56,$C$72:$C$105,CR$72:CR$105,"")</f>
        <v>-0.73134328358208955</v>
      </c>
      <c r="CS56" s="31">
        <f>+_xlfn.XLOOKUP($C56,$C$72:$C$105,CS$72:CS$105,"")</f>
        <v>18</v>
      </c>
      <c r="CT56" s="31">
        <f>+_xlfn.XLOOKUP($C56,$C$72:$C$105,CT$72:CT$105,"")</f>
        <v>2</v>
      </c>
      <c r="CU56" s="30">
        <f>+_xlfn.XLOOKUP($C56,$C$72:$C$105,CU$72:CU$105,"")</f>
        <v>0.1111111111111111</v>
      </c>
      <c r="CV56" s="30">
        <f>+_xlfn.XLOOKUP($C56,$C$72:$C$105,CV$72:CV$105,"")</f>
        <v>4.0909090909090909E-2</v>
      </c>
      <c r="CW56" s="30">
        <f>+_xlfn.XLOOKUP($C56,$C$72:$C$105,CW$72:CW$105,"")</f>
        <v>0.15227272727272728</v>
      </c>
      <c r="CX56" s="32">
        <f>+_xlfn.XLOOKUP($C56,$C$72:$C$105,CX$72:CX$105,"")</f>
        <v>-13.611111111111111</v>
      </c>
    </row>
    <row r="57" spans="2:102" ht="12.75" customHeight="1" x14ac:dyDescent="0.2">
      <c r="B57" s="83">
        <f t="shared" si="94"/>
        <v>30</v>
      </c>
      <c r="C57" s="33" t="str">
        <v>Roope Rättö</v>
      </c>
      <c r="D57" s="34" t="str">
        <f>+_xlfn.XLOOKUP($C57,$C$72:$C$105,D$72:D$105,"")</f>
        <v/>
      </c>
      <c r="E57" s="34" t="str">
        <f>+_xlfn.XLOOKUP($C57,$C$72:$C$105,E$72:E$105,"")</f>
        <v/>
      </c>
      <c r="F57" s="34" t="str">
        <f>+_xlfn.XLOOKUP($C57,$C$72:$C$105,F$72:F$105,"")</f>
        <v/>
      </c>
      <c r="G57" s="34">
        <f>+_xlfn.XLOOKUP($C57,$C$72:$C$105,G$72:G$105,"")</f>
        <v>40</v>
      </c>
      <c r="H57" s="34">
        <f>+_xlfn.XLOOKUP($C57,$C$72:$C$105,H$72:H$105,"")</f>
        <v>-15</v>
      </c>
      <c r="I57" s="34">
        <f>+_xlfn.XLOOKUP($C57,$C$72:$C$105,I$72:I$105,"")</f>
        <v>45</v>
      </c>
      <c r="J57" s="34">
        <f>+_xlfn.XLOOKUP($C57,$C$72:$C$105,J$72:J$105,"")</f>
        <v>-15</v>
      </c>
      <c r="K57" s="34">
        <f>+_xlfn.XLOOKUP($C57,$C$72:$C$105,K$72:K$105,"")</f>
        <v>85</v>
      </c>
      <c r="L57" s="34" t="str">
        <f>+_xlfn.XLOOKUP($C57,$C$72:$C$105,L$72:L$105,"")</f>
        <v/>
      </c>
      <c r="M57" s="34">
        <f>+_xlfn.XLOOKUP($C57,$C$72:$C$105,M$72:M$105,"")</f>
        <v>60</v>
      </c>
      <c r="N57" s="34">
        <f>+_xlfn.XLOOKUP($C57,$C$72:$C$105,N$72:N$105,"")</f>
        <v>-15</v>
      </c>
      <c r="O57" s="34">
        <f>+_xlfn.XLOOKUP($C57,$C$72:$C$105,O$72:O$105,"")</f>
        <v>-30</v>
      </c>
      <c r="P57" s="34">
        <f>+_xlfn.XLOOKUP($C57,$C$72:$C$105,P$72:P$105,"")</f>
        <v>-15</v>
      </c>
      <c r="Q57" s="34">
        <f>+_xlfn.XLOOKUP($C57,$C$72:$C$105,Q$72:Q$105,"")</f>
        <v>-30</v>
      </c>
      <c r="R57" s="34">
        <f>+_xlfn.XLOOKUP($C57,$C$72:$C$105,R$72:R$105,"")</f>
        <v>-15</v>
      </c>
      <c r="S57" s="34">
        <f>+_xlfn.XLOOKUP($C57,$C$72:$C$105,S$72:S$105,"")</f>
        <v>-15</v>
      </c>
      <c r="T57" s="34">
        <f>+_xlfn.XLOOKUP($C57,$C$72:$C$105,T$72:T$105,"")</f>
        <v>-30</v>
      </c>
      <c r="U57" s="34">
        <f>+_xlfn.XLOOKUP($C57,$C$72:$C$105,U$72:U$105,"")</f>
        <v>60</v>
      </c>
      <c r="V57" s="34">
        <f>+_xlfn.XLOOKUP($C57,$C$72:$C$105,V$72:V$105,"")</f>
        <v>-15</v>
      </c>
      <c r="W57" s="34">
        <f>+_xlfn.XLOOKUP($C57,$C$72:$C$105,W$72:W$105,"")</f>
        <v>-30</v>
      </c>
      <c r="X57" s="34" t="str">
        <f>+_xlfn.XLOOKUP($C57,$C$72:$C$105,X$72:X$105,"")</f>
        <v/>
      </c>
      <c r="Y57" s="34" t="str">
        <f>+_xlfn.XLOOKUP($C57,$C$72:$C$105,Y$72:Y$105,"")</f>
        <v/>
      </c>
      <c r="Z57" s="34">
        <f>+_xlfn.XLOOKUP($C57,$C$72:$C$105,Z$72:Z$105,"")</f>
        <v>-15</v>
      </c>
      <c r="AA57" s="34">
        <f>+_xlfn.XLOOKUP($C57,$C$72:$C$105,AA$72:AA$105,"")</f>
        <v>-15</v>
      </c>
      <c r="AB57" s="34" t="str">
        <f>+_xlfn.XLOOKUP($C57,$C$72:$C$105,AB$72:AB$105,"")</f>
        <v/>
      </c>
      <c r="AC57" s="34" t="str">
        <f>+_xlfn.XLOOKUP($C57,$C$72:$C$105,AC$72:AC$105,"")</f>
        <v/>
      </c>
      <c r="AD57" s="34" t="str">
        <f>+_xlfn.XLOOKUP($C57,$C$72:$C$105,AD$72:AD$105,"")</f>
        <v/>
      </c>
      <c r="AE57" s="34" t="str">
        <f>+_xlfn.XLOOKUP($C57,$C$72:$C$105,AE$72:AE$105,"")</f>
        <v/>
      </c>
      <c r="AF57" s="34">
        <f>+_xlfn.XLOOKUP($C57,$C$72:$C$105,AF$72:AF$105,"")</f>
        <v>-15</v>
      </c>
      <c r="AG57" s="34">
        <f>+_xlfn.XLOOKUP($C57,$C$72:$C$105,AG$72:AG$105,"")</f>
        <v>-15</v>
      </c>
      <c r="AH57" s="34" t="str">
        <f>+_xlfn.XLOOKUP($C57,$C$72:$C$105,AH$72:AH$105,"")</f>
        <v/>
      </c>
      <c r="AI57" s="34" t="str">
        <f>+_xlfn.XLOOKUP($C57,$C$72:$C$105,AI$72:AI$105,"")</f>
        <v/>
      </c>
      <c r="AJ57" s="34">
        <f>+_xlfn.XLOOKUP($C57,$C$72:$C$105,AJ$72:AJ$105,"")</f>
        <v>-15</v>
      </c>
      <c r="AK57" s="34">
        <f>+_xlfn.XLOOKUP($C57,$C$72:$C$105,AK$72:AK$105,"")</f>
        <v>-20</v>
      </c>
      <c r="AL57" s="34" t="str">
        <f>+_xlfn.XLOOKUP($C57,$C$72:$C$105,AL$72:AL$105,"")</f>
        <v/>
      </c>
      <c r="AM57" s="34" t="str">
        <f>+_xlfn.XLOOKUP($C57,$C$72:$C$105,AM$72:AM$105,"")</f>
        <v/>
      </c>
      <c r="AN57" s="34">
        <f>+_xlfn.XLOOKUP($C57,$C$72:$C$105,AN$72:AN$105,"")</f>
        <v>-30</v>
      </c>
      <c r="AO57" s="34">
        <f>+_xlfn.XLOOKUP($C57,$C$72:$C$105,AO$72:AO$105,"")</f>
        <v>-10</v>
      </c>
      <c r="AP57" s="34">
        <f>+_xlfn.XLOOKUP($C57,$C$72:$C$105,AP$72:AP$105,"")</f>
        <v>-15</v>
      </c>
      <c r="AQ57" s="34" t="str">
        <f>+_xlfn.XLOOKUP($C57,$C$72:$C$105,AQ$72:AQ$105,"")</f>
        <v/>
      </c>
      <c r="AR57" s="34" t="str">
        <f>+_xlfn.XLOOKUP($C57,$C$72:$C$105,AR$72:AR$105,"")</f>
        <v/>
      </c>
      <c r="AS57" s="34" t="str">
        <f>+_xlfn.XLOOKUP($C57,$C$72:$C$105,AS$72:AS$105,"")</f>
        <v/>
      </c>
      <c r="AT57" s="34">
        <f>+_xlfn.XLOOKUP($C57,$C$72:$C$105,AT$72:AT$105,"")</f>
        <v>-30</v>
      </c>
      <c r="AU57" s="34">
        <f>+_xlfn.XLOOKUP($C57,$C$72:$C$105,AU$72:AU$105,"")</f>
        <v>-30</v>
      </c>
      <c r="AV57" s="34" t="str">
        <f>+_xlfn.XLOOKUP($C57,$C$72:$C$105,AV$72:AV$105,"")</f>
        <v/>
      </c>
      <c r="AW57" s="34" t="str">
        <f>+_xlfn.XLOOKUP($C57,$C$72:$C$105,AW$72:AW$105,"")</f>
        <v/>
      </c>
      <c r="AX57" s="34">
        <f>+_xlfn.XLOOKUP($C57,$C$72:$C$105,AX$72:AX$105,"")</f>
        <v>-30</v>
      </c>
      <c r="AY57" s="34">
        <f>+_xlfn.XLOOKUP($C57,$C$72:$C$105,AY$72:AY$105,"")</f>
        <v>45</v>
      </c>
      <c r="AZ57" s="34" t="str">
        <f>+_xlfn.XLOOKUP($C57,$C$72:$C$105,AZ$72:AZ$105,"")</f>
        <v/>
      </c>
      <c r="BA57" s="34" t="str">
        <f>+_xlfn.XLOOKUP($C57,$C$72:$C$105,BA$72:BA$105,"")</f>
        <v/>
      </c>
      <c r="BB57" s="34" t="str">
        <f>+_xlfn.XLOOKUP($C57,$C$72:$C$105,BB$72:BB$105,"")</f>
        <v/>
      </c>
      <c r="BC57" s="34" t="str">
        <f>+_xlfn.XLOOKUP($C57,$C$72:$C$105,BC$72:BC$105,"")</f>
        <v/>
      </c>
      <c r="BD57" s="34" t="str">
        <f>+_xlfn.XLOOKUP($C57,$C$72:$C$105,BD$72:BD$105,"")</f>
        <v/>
      </c>
      <c r="BE57" s="34" t="str">
        <f>+_xlfn.XLOOKUP($C57,$C$72:$C$105,BE$72:BE$105,"")</f>
        <v/>
      </c>
      <c r="BF57" s="34" t="str">
        <f>+_xlfn.XLOOKUP($C57,$C$72:$C$105,BF$72:BF$105,"")</f>
        <v/>
      </c>
      <c r="BG57" s="34" t="str">
        <f>+_xlfn.XLOOKUP($C57,$C$72:$C$105,BG$72:BG$105,"")</f>
        <v/>
      </c>
      <c r="BH57" s="34">
        <f>+_xlfn.XLOOKUP($C57,$C$72:$C$105,BH$72:BH$105,"")</f>
        <v>-20</v>
      </c>
      <c r="BI57" s="34" t="str">
        <f>+_xlfn.XLOOKUP($C57,$C$72:$C$105,BI$72:BI$105,"")</f>
        <v/>
      </c>
      <c r="BJ57" s="34" t="str">
        <f>+_xlfn.XLOOKUP($C57,$C$72:$C$105,BJ$72:BJ$105,"")</f>
        <v/>
      </c>
      <c r="BK57" s="34" t="str">
        <f>+_xlfn.XLOOKUP($C57,$C$72:$C$105,BK$72:BK$105,"")</f>
        <v/>
      </c>
      <c r="BL57" s="34" t="str">
        <f>+_xlfn.XLOOKUP($C57,$C$72:$C$105,BL$72:BL$105,"")</f>
        <v/>
      </c>
      <c r="BM57" s="34" t="str">
        <f>+_xlfn.XLOOKUP($C57,$C$72:$C$105,BM$72:BM$105,"")</f>
        <v/>
      </c>
      <c r="BN57" s="34" t="str">
        <f>+_xlfn.XLOOKUP($C57,$C$72:$C$105,BN$72:BN$105,"")</f>
        <v/>
      </c>
      <c r="BO57" s="34" t="str">
        <f>+_xlfn.XLOOKUP($C57,$C$72:$C$105,BO$72:BO$105,"")</f>
        <v/>
      </c>
      <c r="BP57" s="34" t="str">
        <f>+_xlfn.XLOOKUP($C57,$C$72:$C$105,BP$72:BP$105,"")</f>
        <v/>
      </c>
      <c r="BQ57" s="34" t="str">
        <f>+_xlfn.XLOOKUP($C57,$C$72:$C$105,BQ$72:BQ$105,"")</f>
        <v/>
      </c>
      <c r="BR57" s="34" t="str">
        <f>+_xlfn.XLOOKUP($C57,$C$72:$C$105,BR$72:BR$105,"")</f>
        <v/>
      </c>
      <c r="BS57" s="34" t="str">
        <f>+_xlfn.XLOOKUP($C57,$C$72:$C$105,BS$72:BS$105,"")</f>
        <v/>
      </c>
      <c r="BT57" s="34" t="str">
        <f>+_xlfn.XLOOKUP($C57,$C$72:$C$105,BT$72:BT$105,"")</f>
        <v/>
      </c>
      <c r="BU57" s="34" t="str">
        <f>+_xlfn.XLOOKUP($C57,$C$72:$C$105,BU$72:BU$105,"")</f>
        <v/>
      </c>
      <c r="BV57" s="34" t="str">
        <f>+_xlfn.XLOOKUP($C57,$C$72:$C$105,BV$72:BV$105,"")</f>
        <v/>
      </c>
      <c r="BW57" s="34" t="str">
        <f>+_xlfn.XLOOKUP($C57,$C$72:$C$105,BW$72:BW$105,"")</f>
        <v/>
      </c>
      <c r="BX57" s="34" t="str">
        <f>+_xlfn.XLOOKUP($C57,$C$72:$C$105,BX$72:BX$105,"")</f>
        <v/>
      </c>
      <c r="BY57" s="34" t="str">
        <f>+_xlfn.XLOOKUP($C57,$C$72:$C$105,BY$72:BY$105,"")</f>
        <v/>
      </c>
      <c r="BZ57" s="34" t="str">
        <f>+_xlfn.XLOOKUP($C57,$C$72:$C$105,BZ$72:BZ$105,"")</f>
        <v/>
      </c>
      <c r="CA57" s="34" t="str">
        <f>+_xlfn.XLOOKUP($C57,$C$72:$C$105,CA$72:CA$105,"")</f>
        <v/>
      </c>
      <c r="CB57" s="34" t="str">
        <f>+_xlfn.XLOOKUP($C57,$C$72:$C$105,CB$72:CB$105,"")</f>
        <v/>
      </c>
      <c r="CC57" s="34" t="str">
        <f>+_xlfn.XLOOKUP($C57,$C$72:$C$105,CC$72:CC$105,"")</f>
        <v/>
      </c>
      <c r="CD57" s="34" t="str">
        <f>+_xlfn.XLOOKUP($C57,$C$72:$C$105,CD$72:CD$105,"")</f>
        <v/>
      </c>
      <c r="CE57" s="34">
        <f>+_xlfn.XLOOKUP($C57,$C$72:$C$105,CE$72:CE$105,"")</f>
        <v>-60</v>
      </c>
      <c r="CF57" s="34" t="str">
        <f>+_xlfn.XLOOKUP($C57,$C$72:$C$105,CF$72:CF$105,"")</f>
        <v/>
      </c>
      <c r="CG57" s="34" t="str">
        <f>+_xlfn.XLOOKUP($C57,$C$72:$C$105,CG$72:CG$105,"")</f>
        <v/>
      </c>
      <c r="CH57" s="34" t="str">
        <f>+_xlfn.XLOOKUP($C57,$C$72:$C$105,CH$72:CH$105,"")</f>
        <v/>
      </c>
      <c r="CI57" s="34" t="str">
        <f>+_xlfn.XLOOKUP($C57,$C$72:$C$105,CI$72:CI$105,"")</f>
        <v/>
      </c>
      <c r="CJ57" s="34" t="str">
        <f>+_xlfn.XLOOKUP($C57,$C$72:$C$105,CJ$72:CJ$105,"")</f>
        <v/>
      </c>
      <c r="CK57" s="34">
        <f>+_xlfn.XLOOKUP($C57,$C$72:$C$105,CK$72:CK$105,"")</f>
        <v>-50</v>
      </c>
      <c r="CL57" s="34" t="str">
        <f>+_xlfn.XLOOKUP($C57,$C$72:$C$105,CL$72:CL$105,"")</f>
        <v/>
      </c>
      <c r="CM57" s="34" t="str">
        <f>+_xlfn.XLOOKUP($C57,$C$72:$C$105,CM$72:CM$105,"")</f>
        <v/>
      </c>
      <c r="CN57" s="34" t="str">
        <f>+_xlfn.XLOOKUP($C57,$C$72:$C$105,CN$72:CN$105,"")</f>
        <v/>
      </c>
      <c r="CO57" s="35"/>
      <c r="CP57" s="36">
        <f>+_xlfn.XLOOKUP($C57,$C$72:$C$105,CP$72:CP$105,"")</f>
        <v>-260</v>
      </c>
      <c r="CQ57" s="34"/>
      <c r="CR57" s="37">
        <f>+_xlfn.XLOOKUP($C57,$C$72:$C$105,CR$72:CR$105,"")</f>
        <v>-0.37410071942446044</v>
      </c>
      <c r="CS57" s="38">
        <f>+_xlfn.XLOOKUP($C57,$C$72:$C$105,CS$72:CS$105,"")</f>
        <v>32</v>
      </c>
      <c r="CT57" s="38">
        <f>+_xlfn.XLOOKUP($C57,$C$72:$C$105,CT$72:CT$105,"")</f>
        <v>6</v>
      </c>
      <c r="CU57" s="37">
        <f>+_xlfn.XLOOKUP($C57,$C$72:$C$105,CU$72:CU$105,"")</f>
        <v>0.1875</v>
      </c>
      <c r="CV57" s="37">
        <f>+_xlfn.XLOOKUP($C57,$C$72:$C$105,CV$72:CV$105,"")</f>
        <v>0.12757458714224126</v>
      </c>
      <c r="CW57" s="37">
        <f>+_xlfn.XLOOKUP($C57,$C$72:$C$105,CW$72:CW$105,"")</f>
        <v>0.20382606451461535</v>
      </c>
      <c r="CX57" s="39">
        <f>+_xlfn.XLOOKUP($C57,$C$72:$C$105,CX$72:CX$105,"")</f>
        <v>-8.125</v>
      </c>
    </row>
    <row r="58" spans="2:102" ht="12.75" customHeight="1" x14ac:dyDescent="0.2">
      <c r="B58" s="84">
        <f t="shared" si="94"/>
        <v>31</v>
      </c>
      <c r="C58" s="40" t="str">
        <v>Aapo Kinnari</v>
      </c>
      <c r="D58" s="41" t="str">
        <f>+_xlfn.XLOOKUP($C58,$C$72:$C$105,D$72:D$105,"")</f>
        <v/>
      </c>
      <c r="E58" s="41" t="str">
        <f>+_xlfn.XLOOKUP($C58,$C$72:$C$105,E$72:E$105,"")</f>
        <v/>
      </c>
      <c r="F58" s="41" t="str">
        <f>+_xlfn.XLOOKUP($C58,$C$72:$C$105,F$72:F$105,"")</f>
        <v/>
      </c>
      <c r="G58" s="41" t="str">
        <f>+_xlfn.XLOOKUP($C58,$C$72:$C$105,G$72:G$105,"")</f>
        <v/>
      </c>
      <c r="H58" s="41" t="str">
        <f>+_xlfn.XLOOKUP($C58,$C$72:$C$105,H$72:H$105,"")</f>
        <v/>
      </c>
      <c r="I58" s="41" t="str">
        <f>+_xlfn.XLOOKUP($C58,$C$72:$C$105,I$72:I$105,"")</f>
        <v/>
      </c>
      <c r="J58" s="41" t="str">
        <f>+_xlfn.XLOOKUP($C58,$C$72:$C$105,J$72:J$105,"")</f>
        <v/>
      </c>
      <c r="K58" s="41" t="str">
        <f>+_xlfn.XLOOKUP($C58,$C$72:$C$105,K$72:K$105,"")</f>
        <v/>
      </c>
      <c r="L58" s="41" t="str">
        <f>+_xlfn.XLOOKUP($C58,$C$72:$C$105,L$72:L$105,"")</f>
        <v/>
      </c>
      <c r="M58" s="41" t="str">
        <f>+_xlfn.XLOOKUP($C58,$C$72:$C$105,M$72:M$105,"")</f>
        <v/>
      </c>
      <c r="N58" s="41" t="str">
        <f>+_xlfn.XLOOKUP($C58,$C$72:$C$105,N$72:N$105,"")</f>
        <v/>
      </c>
      <c r="O58" s="41" t="str">
        <f>+_xlfn.XLOOKUP($C58,$C$72:$C$105,O$72:O$105,"")</f>
        <v/>
      </c>
      <c r="P58" s="41" t="str">
        <f>+_xlfn.XLOOKUP($C58,$C$72:$C$105,P$72:P$105,"")</f>
        <v/>
      </c>
      <c r="Q58" s="41" t="str">
        <f>+_xlfn.XLOOKUP($C58,$C$72:$C$105,Q$72:Q$105,"")</f>
        <v/>
      </c>
      <c r="R58" s="41" t="str">
        <f>+_xlfn.XLOOKUP($C58,$C$72:$C$105,R$72:R$105,"")</f>
        <v/>
      </c>
      <c r="S58" s="41" t="str">
        <f>+_xlfn.XLOOKUP($C58,$C$72:$C$105,S$72:S$105,"")</f>
        <v/>
      </c>
      <c r="T58" s="41" t="str">
        <f>+_xlfn.XLOOKUP($C58,$C$72:$C$105,T$72:T$105,"")</f>
        <v/>
      </c>
      <c r="U58" s="41" t="str">
        <f>+_xlfn.XLOOKUP($C58,$C$72:$C$105,U$72:U$105,"")</f>
        <v/>
      </c>
      <c r="V58" s="41" t="str">
        <f>+_xlfn.XLOOKUP($C58,$C$72:$C$105,V$72:V$105,"")</f>
        <v/>
      </c>
      <c r="W58" s="41" t="str">
        <f>+_xlfn.XLOOKUP($C58,$C$72:$C$105,W$72:W$105,"")</f>
        <v/>
      </c>
      <c r="X58" s="41" t="str">
        <f>+_xlfn.XLOOKUP($C58,$C$72:$C$105,X$72:X$105,"")</f>
        <v/>
      </c>
      <c r="Y58" s="41" t="str">
        <f>+_xlfn.XLOOKUP($C58,$C$72:$C$105,Y$72:Y$105,"")</f>
        <v/>
      </c>
      <c r="Z58" s="41" t="str">
        <f>+_xlfn.XLOOKUP($C58,$C$72:$C$105,Z$72:Z$105,"")</f>
        <v/>
      </c>
      <c r="AA58" s="41" t="str">
        <f>+_xlfn.XLOOKUP($C58,$C$72:$C$105,AA$72:AA$105,"")</f>
        <v/>
      </c>
      <c r="AB58" s="41" t="str">
        <f>+_xlfn.XLOOKUP($C58,$C$72:$C$105,AB$72:AB$105,"")</f>
        <v/>
      </c>
      <c r="AC58" s="41" t="str">
        <f>+_xlfn.XLOOKUP($C58,$C$72:$C$105,AC$72:AC$105,"")</f>
        <v/>
      </c>
      <c r="AD58" s="41" t="str">
        <f>+_xlfn.XLOOKUP($C58,$C$72:$C$105,AD$72:AD$105,"")</f>
        <v/>
      </c>
      <c r="AE58" s="41" t="str">
        <f>+_xlfn.XLOOKUP($C58,$C$72:$C$105,AE$72:AE$105,"")</f>
        <v/>
      </c>
      <c r="AF58" s="41" t="str">
        <f>+_xlfn.XLOOKUP($C58,$C$72:$C$105,AF$72:AF$105,"")</f>
        <v/>
      </c>
      <c r="AG58" s="41" t="str">
        <f>+_xlfn.XLOOKUP($C58,$C$72:$C$105,AG$72:AG$105,"")</f>
        <v/>
      </c>
      <c r="AH58" s="41" t="str">
        <f>+_xlfn.XLOOKUP($C58,$C$72:$C$105,AH$72:AH$105,"")</f>
        <v/>
      </c>
      <c r="AI58" s="41" t="str">
        <f>+_xlfn.XLOOKUP($C58,$C$72:$C$105,AI$72:AI$105,"")</f>
        <v/>
      </c>
      <c r="AJ58" s="41" t="str">
        <f>+_xlfn.XLOOKUP($C58,$C$72:$C$105,AJ$72:AJ$105,"")</f>
        <v/>
      </c>
      <c r="AK58" s="41" t="str">
        <f>+_xlfn.XLOOKUP($C58,$C$72:$C$105,AK$72:AK$105,"")</f>
        <v/>
      </c>
      <c r="AL58" s="41" t="str">
        <f>+_xlfn.XLOOKUP($C58,$C$72:$C$105,AL$72:AL$105,"")</f>
        <v/>
      </c>
      <c r="AM58" s="41" t="str">
        <f>+_xlfn.XLOOKUP($C58,$C$72:$C$105,AM$72:AM$105,"")</f>
        <v/>
      </c>
      <c r="AN58" s="41" t="str">
        <f>+_xlfn.XLOOKUP($C58,$C$72:$C$105,AN$72:AN$105,"")</f>
        <v/>
      </c>
      <c r="AO58" s="41" t="str">
        <f>+_xlfn.XLOOKUP($C58,$C$72:$C$105,AO$72:AO$105,"")</f>
        <v/>
      </c>
      <c r="AP58" s="41" t="str">
        <f>+_xlfn.XLOOKUP($C58,$C$72:$C$105,AP$72:AP$105,"")</f>
        <v/>
      </c>
      <c r="AQ58" s="41" t="str">
        <f>+_xlfn.XLOOKUP($C58,$C$72:$C$105,AQ$72:AQ$105,"")</f>
        <v/>
      </c>
      <c r="AR58" s="41" t="str">
        <f>+_xlfn.XLOOKUP($C58,$C$72:$C$105,AR$72:AR$105,"")</f>
        <v/>
      </c>
      <c r="AS58" s="41" t="str">
        <f>+_xlfn.XLOOKUP($C58,$C$72:$C$105,AS$72:AS$105,"")</f>
        <v/>
      </c>
      <c r="AT58" s="41" t="str">
        <f>+_xlfn.XLOOKUP($C58,$C$72:$C$105,AT$72:AT$105,"")</f>
        <v/>
      </c>
      <c r="AU58" s="41" t="str">
        <f>+_xlfn.XLOOKUP($C58,$C$72:$C$105,AU$72:AU$105,"")</f>
        <v/>
      </c>
      <c r="AV58" s="41" t="str">
        <f>+_xlfn.XLOOKUP($C58,$C$72:$C$105,AV$72:AV$105,"")</f>
        <v/>
      </c>
      <c r="AW58" s="41" t="str">
        <f>+_xlfn.XLOOKUP($C58,$C$72:$C$105,AW$72:AW$105,"")</f>
        <v/>
      </c>
      <c r="AX58" s="41" t="str">
        <f>+_xlfn.XLOOKUP($C58,$C$72:$C$105,AX$72:AX$105,"")</f>
        <v/>
      </c>
      <c r="AY58" s="41" t="str">
        <f>+_xlfn.XLOOKUP($C58,$C$72:$C$105,AY$72:AY$105,"")</f>
        <v/>
      </c>
      <c r="AZ58" s="41" t="str">
        <f>+_xlfn.XLOOKUP($C58,$C$72:$C$105,AZ$72:AZ$105,"")</f>
        <v/>
      </c>
      <c r="BA58" s="41" t="str">
        <f>+_xlfn.XLOOKUP($C58,$C$72:$C$105,BA$72:BA$105,"")</f>
        <v/>
      </c>
      <c r="BB58" s="41" t="str">
        <f>+_xlfn.XLOOKUP($C58,$C$72:$C$105,BB$72:BB$105,"")</f>
        <v/>
      </c>
      <c r="BC58" s="41" t="str">
        <f>+_xlfn.XLOOKUP($C58,$C$72:$C$105,BC$72:BC$105,"")</f>
        <v/>
      </c>
      <c r="BD58" s="41" t="str">
        <f>+_xlfn.XLOOKUP($C58,$C$72:$C$105,BD$72:BD$105,"")</f>
        <v/>
      </c>
      <c r="BE58" s="41" t="str">
        <f>+_xlfn.XLOOKUP($C58,$C$72:$C$105,BE$72:BE$105,"")</f>
        <v/>
      </c>
      <c r="BF58" s="41" t="str">
        <f>+_xlfn.XLOOKUP($C58,$C$72:$C$105,BF$72:BF$105,"")</f>
        <v/>
      </c>
      <c r="BG58" s="41" t="str">
        <f>+_xlfn.XLOOKUP($C58,$C$72:$C$105,BG$72:BG$105,"")</f>
        <v/>
      </c>
      <c r="BH58" s="41" t="str">
        <f>+_xlfn.XLOOKUP($C58,$C$72:$C$105,BH$72:BH$105,"")</f>
        <v/>
      </c>
      <c r="BI58" s="41" t="str">
        <f>+_xlfn.XLOOKUP($C58,$C$72:$C$105,BI$72:BI$105,"")</f>
        <v/>
      </c>
      <c r="BJ58" s="41" t="str">
        <f>+_xlfn.XLOOKUP($C58,$C$72:$C$105,BJ$72:BJ$105,"")</f>
        <v/>
      </c>
      <c r="BK58" s="41" t="str">
        <f>+_xlfn.XLOOKUP($C58,$C$72:$C$105,BK$72:BK$105,"")</f>
        <v/>
      </c>
      <c r="BL58" s="41" t="str">
        <f>+_xlfn.XLOOKUP($C58,$C$72:$C$105,BL$72:BL$105,"")</f>
        <v/>
      </c>
      <c r="BM58" s="41" t="str">
        <f>+_xlfn.XLOOKUP($C58,$C$72:$C$105,BM$72:BM$105,"")</f>
        <v/>
      </c>
      <c r="BN58" s="41" t="str">
        <f>+_xlfn.XLOOKUP($C58,$C$72:$C$105,BN$72:BN$105,"")</f>
        <v/>
      </c>
      <c r="BO58" s="41" t="str">
        <f>+_xlfn.XLOOKUP($C58,$C$72:$C$105,BO$72:BO$105,"")</f>
        <v/>
      </c>
      <c r="BP58" s="41" t="str">
        <f>+_xlfn.XLOOKUP($C58,$C$72:$C$105,BP$72:BP$105,"")</f>
        <v/>
      </c>
      <c r="BQ58" s="41" t="str">
        <f>+_xlfn.XLOOKUP($C58,$C$72:$C$105,BQ$72:BQ$105,"")</f>
        <v/>
      </c>
      <c r="BR58" s="41" t="str">
        <f>+_xlfn.XLOOKUP($C58,$C$72:$C$105,BR$72:BR$105,"")</f>
        <v/>
      </c>
      <c r="BS58" s="41" t="str">
        <f>+_xlfn.XLOOKUP($C58,$C$72:$C$105,BS$72:BS$105,"")</f>
        <v/>
      </c>
      <c r="BT58" s="41" t="str">
        <f>+_xlfn.XLOOKUP($C58,$C$72:$C$105,BT$72:BT$105,"")</f>
        <v/>
      </c>
      <c r="BU58" s="41" t="str">
        <f>+_xlfn.XLOOKUP($C58,$C$72:$C$105,BU$72:BU$105,"")</f>
        <v/>
      </c>
      <c r="BV58" s="41" t="str">
        <f>+_xlfn.XLOOKUP($C58,$C$72:$C$105,BV$72:BV$105,"")</f>
        <v/>
      </c>
      <c r="BW58" s="41" t="str">
        <f>+_xlfn.XLOOKUP($C58,$C$72:$C$105,BW$72:BW$105,"")</f>
        <v/>
      </c>
      <c r="BX58" s="41">
        <f>+_xlfn.XLOOKUP($C58,$C$72:$C$105,BX$72:BX$105,"")</f>
        <v>-30</v>
      </c>
      <c r="BY58" s="41">
        <f>+_xlfn.XLOOKUP($C58,$C$72:$C$105,BY$72:BY$105,"")</f>
        <v>-25</v>
      </c>
      <c r="BZ58" s="41" t="str">
        <f>+_xlfn.XLOOKUP($C58,$C$72:$C$105,BZ$72:BZ$105,"")</f>
        <v/>
      </c>
      <c r="CA58" s="41">
        <f>+_xlfn.XLOOKUP($C58,$C$72:$C$105,CA$72:CA$105,"")</f>
        <v>25</v>
      </c>
      <c r="CB58" s="41">
        <f>+_xlfn.XLOOKUP($C58,$C$72:$C$105,CB$72:CB$105,"")</f>
        <v>-20</v>
      </c>
      <c r="CC58" s="41" t="str">
        <f>+_xlfn.XLOOKUP($C58,$C$72:$C$105,CC$72:CC$105,"")</f>
        <v/>
      </c>
      <c r="CD58" s="41">
        <f>+_xlfn.XLOOKUP($C58,$C$72:$C$105,CD$72:CD$105,"")</f>
        <v>-60</v>
      </c>
      <c r="CE58" s="41" t="str">
        <f>+_xlfn.XLOOKUP($C58,$C$72:$C$105,CE$72:CE$105,"")</f>
        <v/>
      </c>
      <c r="CF58" s="41" t="str">
        <f>+_xlfn.XLOOKUP($C58,$C$72:$C$105,CF$72:CF$105,"")</f>
        <v/>
      </c>
      <c r="CG58" s="41">
        <f>+_xlfn.XLOOKUP($C58,$C$72:$C$105,CG$72:CG$105,"")</f>
        <v>-90</v>
      </c>
      <c r="CH58" s="41" t="str">
        <f>+_xlfn.XLOOKUP($C58,$C$72:$C$105,CH$72:CH$105,"")</f>
        <v/>
      </c>
      <c r="CI58" s="41" t="str">
        <f>+_xlfn.XLOOKUP($C58,$C$72:$C$105,CI$72:CI$105,"")</f>
        <v/>
      </c>
      <c r="CJ58" s="41" t="str">
        <f>+_xlfn.XLOOKUP($C58,$C$72:$C$105,CJ$72:CJ$105,"")</f>
        <v/>
      </c>
      <c r="CK58" s="41" t="str">
        <f>+_xlfn.XLOOKUP($C58,$C$72:$C$105,CK$72:CK$105,"")</f>
        <v/>
      </c>
      <c r="CL58" s="41" t="str">
        <f>+_xlfn.XLOOKUP($C58,$C$72:$C$105,CL$72:CL$105,"")</f>
        <v/>
      </c>
      <c r="CM58" s="41" t="str">
        <f>+_xlfn.XLOOKUP($C58,$C$72:$C$105,CM$72:CM$105,"")</f>
        <v/>
      </c>
      <c r="CN58" s="41">
        <f>+_xlfn.XLOOKUP($C58,$C$72:$C$105,CN$72:CN$105,"")</f>
        <v>-60</v>
      </c>
      <c r="CO58" s="42"/>
      <c r="CP58" s="29">
        <f>+_xlfn.XLOOKUP($C58,$C$72:$C$105,CP$72:CP$105,"")</f>
        <v>-260</v>
      </c>
      <c r="CQ58" s="41"/>
      <c r="CR58" s="30">
        <f>+_xlfn.XLOOKUP($C58,$C$72:$C$105,CR$72:CR$105,"")</f>
        <v>-0.85245901639344268</v>
      </c>
      <c r="CS58" s="31">
        <f>+_xlfn.XLOOKUP($C58,$C$72:$C$105,CS$72:CS$105,"")</f>
        <v>7</v>
      </c>
      <c r="CT58" s="31">
        <f>+_xlfn.XLOOKUP($C58,$C$72:$C$105,CT$72:CT$105,"")</f>
        <v>1</v>
      </c>
      <c r="CU58" s="30">
        <f>+_xlfn.XLOOKUP($C58,$C$72:$C$105,CU$72:CU$105,"")</f>
        <v>0.14285714285714285</v>
      </c>
      <c r="CV58" s="30">
        <f>+_xlfn.XLOOKUP($C58,$C$72:$C$105,CV$72:CV$105,"")</f>
        <v>2.5210084033613446E-2</v>
      </c>
      <c r="CW58" s="30">
        <f>+_xlfn.XLOOKUP($C58,$C$72:$C$105,CW$72:CW$105,"")</f>
        <v>0.17086834733893558</v>
      </c>
      <c r="CX58" s="32">
        <f>+_xlfn.XLOOKUP($C58,$C$72:$C$105,CX$72:CX$105,"")</f>
        <v>-37.142857142857146</v>
      </c>
    </row>
    <row r="59" spans="2:102" ht="12.75" customHeight="1" x14ac:dyDescent="0.2">
      <c r="B59" s="83">
        <f t="shared" si="94"/>
        <v>32</v>
      </c>
      <c r="C59" s="33" t="str">
        <v>Ilmari Lehtinen</v>
      </c>
      <c r="D59" s="34">
        <f>+_xlfn.XLOOKUP($C59,$C$72:$C$105,D$72:D$105,"")</f>
        <v>-20</v>
      </c>
      <c r="E59" s="34">
        <f>+_xlfn.XLOOKUP($C59,$C$72:$C$105,E$72:E$105,"")</f>
        <v>-20</v>
      </c>
      <c r="F59" s="34" t="str">
        <f>+_xlfn.XLOOKUP($C59,$C$72:$C$105,F$72:F$105,"")</f>
        <v/>
      </c>
      <c r="G59" s="34" t="str">
        <f>+_xlfn.XLOOKUP($C59,$C$72:$C$105,G$72:G$105,"")</f>
        <v/>
      </c>
      <c r="H59" s="34" t="str">
        <f>+_xlfn.XLOOKUP($C59,$C$72:$C$105,H$72:H$105,"")</f>
        <v/>
      </c>
      <c r="I59" s="34" t="str">
        <f>+_xlfn.XLOOKUP($C59,$C$72:$C$105,I$72:I$105,"")</f>
        <v/>
      </c>
      <c r="J59" s="34" t="str">
        <f>+_xlfn.XLOOKUP($C59,$C$72:$C$105,J$72:J$105,"")</f>
        <v/>
      </c>
      <c r="K59" s="34">
        <f>+_xlfn.XLOOKUP($C59,$C$72:$C$105,K$72:K$105,"")</f>
        <v>-15</v>
      </c>
      <c r="L59" s="34" t="str">
        <f>+_xlfn.XLOOKUP($C59,$C$72:$C$105,L$72:L$105,"")</f>
        <v/>
      </c>
      <c r="M59" s="34" t="str">
        <f>+_xlfn.XLOOKUP($C59,$C$72:$C$105,M$72:M$105,"")</f>
        <v/>
      </c>
      <c r="N59" s="34" t="str">
        <f>+_xlfn.XLOOKUP($C59,$C$72:$C$105,N$72:N$105,"")</f>
        <v/>
      </c>
      <c r="O59" s="34">
        <f>+_xlfn.XLOOKUP($C59,$C$72:$C$105,O$72:O$105,"")</f>
        <v>-15</v>
      </c>
      <c r="P59" s="34" t="str">
        <f>+_xlfn.XLOOKUP($C59,$C$72:$C$105,P$72:P$105,"")</f>
        <v/>
      </c>
      <c r="Q59" s="34">
        <f>+_xlfn.XLOOKUP($C59,$C$72:$C$105,Q$72:Q$105,"")</f>
        <v>-15</v>
      </c>
      <c r="R59" s="34" t="str">
        <f>+_xlfn.XLOOKUP($C59,$C$72:$C$105,R$72:R$105,"")</f>
        <v/>
      </c>
      <c r="S59" s="34" t="str">
        <f>+_xlfn.XLOOKUP($C59,$C$72:$C$105,S$72:S$105,"")</f>
        <v/>
      </c>
      <c r="T59" s="34" t="str">
        <f>+_xlfn.XLOOKUP($C59,$C$72:$C$105,T$72:T$105,"")</f>
        <v/>
      </c>
      <c r="U59" s="34" t="str">
        <f>+_xlfn.XLOOKUP($C59,$C$72:$C$105,U$72:U$105,"")</f>
        <v/>
      </c>
      <c r="V59" s="34" t="str">
        <f>+_xlfn.XLOOKUP($C59,$C$72:$C$105,V$72:V$105,"")</f>
        <v/>
      </c>
      <c r="W59" s="34" t="str">
        <f>+_xlfn.XLOOKUP($C59,$C$72:$C$105,W$72:W$105,"")</f>
        <v/>
      </c>
      <c r="X59" s="34" t="str">
        <f>+_xlfn.XLOOKUP($C59,$C$72:$C$105,X$72:X$105,"")</f>
        <v/>
      </c>
      <c r="Y59" s="34" t="str">
        <f>+_xlfn.XLOOKUP($C59,$C$72:$C$105,Y$72:Y$105,"")</f>
        <v/>
      </c>
      <c r="Z59" s="34" t="str">
        <f>+_xlfn.XLOOKUP($C59,$C$72:$C$105,Z$72:Z$105,"")</f>
        <v/>
      </c>
      <c r="AA59" s="34" t="str">
        <f>+_xlfn.XLOOKUP($C59,$C$72:$C$105,AA$72:AA$105,"")</f>
        <v/>
      </c>
      <c r="AB59" s="34" t="str">
        <f>+_xlfn.XLOOKUP($C59,$C$72:$C$105,AB$72:AB$105,"")</f>
        <v/>
      </c>
      <c r="AC59" s="34" t="str">
        <f>+_xlfn.XLOOKUP($C59,$C$72:$C$105,AC$72:AC$105,"")</f>
        <v/>
      </c>
      <c r="AD59" s="34" t="str">
        <f>+_xlfn.XLOOKUP($C59,$C$72:$C$105,AD$72:AD$105,"")</f>
        <v/>
      </c>
      <c r="AE59" s="34" t="str">
        <f>+_xlfn.XLOOKUP($C59,$C$72:$C$105,AE$72:AE$105,"")</f>
        <v/>
      </c>
      <c r="AF59" s="34" t="str">
        <f>+_xlfn.XLOOKUP($C59,$C$72:$C$105,AF$72:AF$105,"")</f>
        <v/>
      </c>
      <c r="AG59" s="34" t="str">
        <f>+_xlfn.XLOOKUP($C59,$C$72:$C$105,AG$72:AG$105,"")</f>
        <v/>
      </c>
      <c r="AH59" s="34" t="str">
        <f>+_xlfn.XLOOKUP($C59,$C$72:$C$105,AH$72:AH$105,"")</f>
        <v/>
      </c>
      <c r="AI59" s="34" t="str">
        <f>+_xlfn.XLOOKUP($C59,$C$72:$C$105,AI$72:AI$105,"")</f>
        <v/>
      </c>
      <c r="AJ59" s="34" t="str">
        <f>+_xlfn.XLOOKUP($C59,$C$72:$C$105,AJ$72:AJ$105,"")</f>
        <v/>
      </c>
      <c r="AK59" s="34" t="str">
        <f>+_xlfn.XLOOKUP($C59,$C$72:$C$105,AK$72:AK$105,"")</f>
        <v/>
      </c>
      <c r="AL59" s="34" t="str">
        <f>+_xlfn.XLOOKUP($C59,$C$72:$C$105,AL$72:AL$105,"")</f>
        <v/>
      </c>
      <c r="AM59" s="34" t="str">
        <f>+_xlfn.XLOOKUP($C59,$C$72:$C$105,AM$72:AM$105,"")</f>
        <v/>
      </c>
      <c r="AN59" s="34" t="str">
        <f>+_xlfn.XLOOKUP($C59,$C$72:$C$105,AN$72:AN$105,"")</f>
        <v/>
      </c>
      <c r="AO59" s="34" t="str">
        <f>+_xlfn.XLOOKUP($C59,$C$72:$C$105,AO$72:AO$105,"")</f>
        <v/>
      </c>
      <c r="AP59" s="34" t="str">
        <f>+_xlfn.XLOOKUP($C59,$C$72:$C$105,AP$72:AP$105,"")</f>
        <v/>
      </c>
      <c r="AQ59" s="34" t="str">
        <f>+_xlfn.XLOOKUP($C59,$C$72:$C$105,AQ$72:AQ$105,"")</f>
        <v/>
      </c>
      <c r="AR59" s="34" t="str">
        <f>+_xlfn.XLOOKUP($C59,$C$72:$C$105,AR$72:AR$105,"")</f>
        <v/>
      </c>
      <c r="AS59" s="34" t="str">
        <f>+_xlfn.XLOOKUP($C59,$C$72:$C$105,AS$72:AS$105,"")</f>
        <v/>
      </c>
      <c r="AT59" s="34" t="str">
        <f>+_xlfn.XLOOKUP($C59,$C$72:$C$105,AT$72:AT$105,"")</f>
        <v/>
      </c>
      <c r="AU59" s="34" t="str">
        <f>+_xlfn.XLOOKUP($C59,$C$72:$C$105,AU$72:AU$105,"")</f>
        <v/>
      </c>
      <c r="AV59" s="34" t="str">
        <f>+_xlfn.XLOOKUP($C59,$C$72:$C$105,AV$72:AV$105,"")</f>
        <v/>
      </c>
      <c r="AW59" s="34" t="str">
        <f>+_xlfn.XLOOKUP($C59,$C$72:$C$105,AW$72:AW$105,"")</f>
        <v/>
      </c>
      <c r="AX59" s="34" t="str">
        <f>+_xlfn.XLOOKUP($C59,$C$72:$C$105,AX$72:AX$105,"")</f>
        <v/>
      </c>
      <c r="AY59" s="34" t="str">
        <f>+_xlfn.XLOOKUP($C59,$C$72:$C$105,AY$72:AY$105,"")</f>
        <v/>
      </c>
      <c r="AZ59" s="34" t="str">
        <f>+_xlfn.XLOOKUP($C59,$C$72:$C$105,AZ$72:AZ$105,"")</f>
        <v/>
      </c>
      <c r="BA59" s="34" t="str">
        <f>+_xlfn.XLOOKUP($C59,$C$72:$C$105,BA$72:BA$105,"")</f>
        <v/>
      </c>
      <c r="BB59" s="34" t="str">
        <f>+_xlfn.XLOOKUP($C59,$C$72:$C$105,BB$72:BB$105,"")</f>
        <v/>
      </c>
      <c r="BC59" s="34" t="str">
        <f>+_xlfn.XLOOKUP($C59,$C$72:$C$105,BC$72:BC$105,"")</f>
        <v/>
      </c>
      <c r="BD59" s="34" t="str">
        <f>+_xlfn.XLOOKUP($C59,$C$72:$C$105,BD$72:BD$105,"")</f>
        <v/>
      </c>
      <c r="BE59" s="34" t="str">
        <f>+_xlfn.XLOOKUP($C59,$C$72:$C$105,BE$72:BE$105,"")</f>
        <v/>
      </c>
      <c r="BF59" s="34" t="str">
        <f>+_xlfn.XLOOKUP($C59,$C$72:$C$105,BF$72:BF$105,"")</f>
        <v/>
      </c>
      <c r="BG59" s="34" t="str">
        <f>+_xlfn.XLOOKUP($C59,$C$72:$C$105,BG$72:BG$105,"")</f>
        <v/>
      </c>
      <c r="BH59" s="34" t="str">
        <f>+_xlfn.XLOOKUP($C59,$C$72:$C$105,BH$72:BH$105,"")</f>
        <v/>
      </c>
      <c r="BI59" s="34" t="str">
        <f>+_xlfn.XLOOKUP($C59,$C$72:$C$105,BI$72:BI$105,"")</f>
        <v/>
      </c>
      <c r="BJ59" s="34" t="str">
        <f>+_xlfn.XLOOKUP($C59,$C$72:$C$105,BJ$72:BJ$105,"")</f>
        <v/>
      </c>
      <c r="BK59" s="34">
        <f>+_xlfn.XLOOKUP($C59,$C$72:$C$105,BK$72:BK$105,"")</f>
        <v>80</v>
      </c>
      <c r="BL59" s="34" t="str">
        <f>+_xlfn.XLOOKUP($C59,$C$72:$C$105,BL$72:BL$105,"")</f>
        <v/>
      </c>
      <c r="BM59" s="34">
        <f>+_xlfn.XLOOKUP($C59,$C$72:$C$105,BM$72:BM$105,"")</f>
        <v>-20</v>
      </c>
      <c r="BN59" s="34" t="str">
        <f>+_xlfn.XLOOKUP($C59,$C$72:$C$105,BN$72:BN$105,"")</f>
        <v/>
      </c>
      <c r="BO59" s="34" t="str">
        <f>+_xlfn.XLOOKUP($C59,$C$72:$C$105,BO$72:BO$105,"")</f>
        <v/>
      </c>
      <c r="BP59" s="34">
        <f>+_xlfn.XLOOKUP($C59,$C$72:$C$105,BP$72:BP$105,"")</f>
        <v>95</v>
      </c>
      <c r="BQ59" s="34">
        <f>+_xlfn.XLOOKUP($C59,$C$72:$C$105,BQ$72:BQ$105,"")</f>
        <v>-60</v>
      </c>
      <c r="BR59" s="34">
        <f>+_xlfn.XLOOKUP($C59,$C$72:$C$105,BR$72:BR$105,"")</f>
        <v>-60</v>
      </c>
      <c r="BS59" s="34">
        <f>+_xlfn.XLOOKUP($C59,$C$72:$C$105,BS$72:BS$105,"")</f>
        <v>-40</v>
      </c>
      <c r="BT59" s="34" t="str">
        <f>+_xlfn.XLOOKUP($C59,$C$72:$C$105,BT$72:BT$105,"")</f>
        <v/>
      </c>
      <c r="BU59" s="34" t="str">
        <f>+_xlfn.XLOOKUP($C59,$C$72:$C$105,BU$72:BU$105,"")</f>
        <v/>
      </c>
      <c r="BV59" s="34">
        <f>+_xlfn.XLOOKUP($C59,$C$72:$C$105,BV$72:BV$105,"")</f>
        <v>-20</v>
      </c>
      <c r="BW59" s="34" t="str">
        <f>+_xlfn.XLOOKUP($C59,$C$72:$C$105,BW$72:BW$105,"")</f>
        <v/>
      </c>
      <c r="BX59" s="34" t="str">
        <f>+_xlfn.XLOOKUP($C59,$C$72:$C$105,BX$72:BX$105,"")</f>
        <v/>
      </c>
      <c r="BY59" s="34" t="str">
        <f>+_xlfn.XLOOKUP($C59,$C$72:$C$105,BY$72:BY$105,"")</f>
        <v/>
      </c>
      <c r="BZ59" s="34" t="str">
        <f>+_xlfn.XLOOKUP($C59,$C$72:$C$105,BZ$72:BZ$105,"")</f>
        <v/>
      </c>
      <c r="CA59" s="34">
        <f>+_xlfn.XLOOKUP($C59,$C$72:$C$105,CA$72:CA$105,"")</f>
        <v>-40</v>
      </c>
      <c r="CB59" s="34">
        <f>+_xlfn.XLOOKUP($C59,$C$72:$C$105,CB$72:CB$105,"")</f>
        <v>-20</v>
      </c>
      <c r="CC59" s="34" t="str">
        <f>+_xlfn.XLOOKUP($C59,$C$72:$C$105,CC$72:CC$105,"")</f>
        <v/>
      </c>
      <c r="CD59" s="34">
        <f>+_xlfn.XLOOKUP($C59,$C$72:$C$105,CD$72:CD$105,"")</f>
        <v>-40</v>
      </c>
      <c r="CE59" s="34" t="str">
        <f>+_xlfn.XLOOKUP($C59,$C$72:$C$105,CE$72:CE$105,"")</f>
        <v/>
      </c>
      <c r="CF59" s="34" t="str">
        <f>+_xlfn.XLOOKUP($C59,$C$72:$C$105,CF$72:CF$105,"")</f>
        <v/>
      </c>
      <c r="CG59" s="34" t="str">
        <f>+_xlfn.XLOOKUP($C59,$C$72:$C$105,CG$72:CG$105,"")</f>
        <v/>
      </c>
      <c r="CH59" s="34">
        <f>+_xlfn.XLOOKUP($C59,$C$72:$C$105,CH$72:CH$105,"")</f>
        <v>-60</v>
      </c>
      <c r="CI59" s="34" t="str">
        <f>+_xlfn.XLOOKUP($C59,$C$72:$C$105,CI$72:CI$105,"")</f>
        <v/>
      </c>
      <c r="CJ59" s="34" t="str">
        <f>+_xlfn.XLOOKUP($C59,$C$72:$C$105,CJ$72:CJ$105,"")</f>
        <v/>
      </c>
      <c r="CK59" s="34" t="str">
        <f>+_xlfn.XLOOKUP($C59,$C$72:$C$105,CK$72:CK$105,"")</f>
        <v/>
      </c>
      <c r="CL59" s="34" t="str">
        <f>+_xlfn.XLOOKUP($C59,$C$72:$C$105,CL$72:CL$105,"")</f>
        <v/>
      </c>
      <c r="CM59" s="34" t="str">
        <f>+_xlfn.XLOOKUP($C59,$C$72:$C$105,CM$72:CM$105,"")</f>
        <v/>
      </c>
      <c r="CN59" s="34">
        <f>+_xlfn.XLOOKUP($C59,$C$72:$C$105,CN$72:CN$105,"")</f>
        <v>-60</v>
      </c>
      <c r="CO59" s="35"/>
      <c r="CP59" s="36">
        <f>+_xlfn.XLOOKUP($C59,$C$72:$C$105,CP$72:CP$105,"")</f>
        <v>-330</v>
      </c>
      <c r="CQ59" s="34"/>
      <c r="CR59" s="37">
        <f>+_xlfn.XLOOKUP($C59,$C$72:$C$105,CR$72:CR$105,"")</f>
        <v>-0.5641025641025641</v>
      </c>
      <c r="CS59" s="38">
        <f>+_xlfn.XLOOKUP($C59,$C$72:$C$105,CS$72:CS$105,"")</f>
        <v>17</v>
      </c>
      <c r="CT59" s="38">
        <f>+_xlfn.XLOOKUP($C59,$C$72:$C$105,CT$72:CT$105,"")</f>
        <v>2</v>
      </c>
      <c r="CU59" s="37">
        <f>+_xlfn.XLOOKUP($C59,$C$72:$C$105,CU$72:CU$105,"")</f>
        <v>0.11764705882352941</v>
      </c>
      <c r="CV59" s="37">
        <f>+_xlfn.XLOOKUP($C59,$C$72:$C$105,CV$72:CV$105,"")</f>
        <v>7.786259541984733E-2</v>
      </c>
      <c r="CW59" s="37">
        <f>+_xlfn.XLOOKUP($C59,$C$72:$C$105,CW$72:CW$105,"")</f>
        <v>0.17862595419847327</v>
      </c>
      <c r="CX59" s="39">
        <f>+_xlfn.XLOOKUP($C59,$C$72:$C$105,CX$72:CX$105,"")</f>
        <v>-19.411764705882351</v>
      </c>
    </row>
    <row r="60" spans="2:102" ht="12.75" customHeight="1" x14ac:dyDescent="0.2">
      <c r="B60" s="84">
        <f t="shared" si="94"/>
        <v>33</v>
      </c>
      <c r="C60" s="40" t="str">
        <v>Samuli Laakko</v>
      </c>
      <c r="D60" s="41" t="str">
        <f>+_xlfn.XLOOKUP($C60,$C$72:$C$105,D$72:D$105,"")</f>
        <v/>
      </c>
      <c r="E60" s="41" t="str">
        <f>+_xlfn.XLOOKUP($C60,$C$72:$C$105,E$72:E$105,"")</f>
        <v/>
      </c>
      <c r="F60" s="41" t="str">
        <f>+_xlfn.XLOOKUP($C60,$C$72:$C$105,F$72:F$105,"")</f>
        <v/>
      </c>
      <c r="G60" s="41" t="str">
        <f>+_xlfn.XLOOKUP($C60,$C$72:$C$105,G$72:G$105,"")</f>
        <v/>
      </c>
      <c r="H60" s="41" t="str">
        <f>+_xlfn.XLOOKUP($C60,$C$72:$C$105,H$72:H$105,"")</f>
        <v/>
      </c>
      <c r="I60" s="41" t="str">
        <f>+_xlfn.XLOOKUP($C60,$C$72:$C$105,I$72:I$105,"")</f>
        <v/>
      </c>
      <c r="J60" s="41" t="str">
        <f>+_xlfn.XLOOKUP($C60,$C$72:$C$105,J$72:J$105,"")</f>
        <v/>
      </c>
      <c r="K60" s="41" t="str">
        <f>+_xlfn.XLOOKUP($C60,$C$72:$C$105,K$72:K$105,"")</f>
        <v/>
      </c>
      <c r="L60" s="41" t="str">
        <f>+_xlfn.XLOOKUP($C60,$C$72:$C$105,L$72:L$105,"")</f>
        <v/>
      </c>
      <c r="M60" s="41" t="str">
        <f>+_xlfn.XLOOKUP($C60,$C$72:$C$105,M$72:M$105,"")</f>
        <v/>
      </c>
      <c r="N60" s="41" t="str">
        <f>+_xlfn.XLOOKUP($C60,$C$72:$C$105,N$72:N$105,"")</f>
        <v/>
      </c>
      <c r="O60" s="41" t="str">
        <f>+_xlfn.XLOOKUP($C60,$C$72:$C$105,O$72:O$105,"")</f>
        <v/>
      </c>
      <c r="P60" s="41" t="str">
        <f>+_xlfn.XLOOKUP($C60,$C$72:$C$105,P$72:P$105,"")</f>
        <v/>
      </c>
      <c r="Q60" s="41" t="str">
        <f>+_xlfn.XLOOKUP($C60,$C$72:$C$105,Q$72:Q$105,"")</f>
        <v/>
      </c>
      <c r="R60" s="41" t="str">
        <f>+_xlfn.XLOOKUP($C60,$C$72:$C$105,R$72:R$105,"")</f>
        <v/>
      </c>
      <c r="S60" s="41" t="str">
        <f>+_xlfn.XLOOKUP($C60,$C$72:$C$105,S$72:S$105,"")</f>
        <v/>
      </c>
      <c r="T60" s="41" t="str">
        <f>+_xlfn.XLOOKUP($C60,$C$72:$C$105,T$72:T$105,"")</f>
        <v/>
      </c>
      <c r="U60" s="41" t="str">
        <f>+_xlfn.XLOOKUP($C60,$C$72:$C$105,U$72:U$105,"")</f>
        <v/>
      </c>
      <c r="V60" s="41" t="str">
        <f>+_xlfn.XLOOKUP($C60,$C$72:$C$105,V$72:V$105,"")</f>
        <v/>
      </c>
      <c r="W60" s="41" t="str">
        <f>+_xlfn.XLOOKUP($C60,$C$72:$C$105,W$72:W$105,"")</f>
        <v/>
      </c>
      <c r="X60" s="41" t="str">
        <f>+_xlfn.XLOOKUP($C60,$C$72:$C$105,X$72:X$105,"")</f>
        <v/>
      </c>
      <c r="Y60" s="41" t="str">
        <f>+_xlfn.XLOOKUP($C60,$C$72:$C$105,Y$72:Y$105,"")</f>
        <v/>
      </c>
      <c r="Z60" s="41" t="str">
        <f>+_xlfn.XLOOKUP($C60,$C$72:$C$105,Z$72:Z$105,"")</f>
        <v/>
      </c>
      <c r="AA60" s="41" t="str">
        <f>+_xlfn.XLOOKUP($C60,$C$72:$C$105,AA$72:AA$105,"")</f>
        <v/>
      </c>
      <c r="AB60" s="41">
        <f>+_xlfn.XLOOKUP($C60,$C$72:$C$105,AB$72:AB$105,"")</f>
        <v>90</v>
      </c>
      <c r="AC60" s="41">
        <f>+_xlfn.XLOOKUP($C60,$C$72:$C$105,AC$72:AC$105,"")</f>
        <v>-15</v>
      </c>
      <c r="AD60" s="41">
        <f>+_xlfn.XLOOKUP($C60,$C$72:$C$105,AD$72:AD$105,"")</f>
        <v>-15</v>
      </c>
      <c r="AE60" s="41">
        <f>+_xlfn.XLOOKUP($C60,$C$72:$C$105,AE$72:AE$105,"")</f>
        <v>-60</v>
      </c>
      <c r="AF60" s="41" t="str">
        <f>+_xlfn.XLOOKUP($C60,$C$72:$C$105,AF$72:AF$105,"")</f>
        <v/>
      </c>
      <c r="AG60" s="41" t="str">
        <f>+_xlfn.XLOOKUP($C60,$C$72:$C$105,AG$72:AG$105,"")</f>
        <v/>
      </c>
      <c r="AH60" s="41">
        <f>+_xlfn.XLOOKUP($C60,$C$72:$C$105,AH$72:AH$105,"")</f>
        <v>-30</v>
      </c>
      <c r="AI60" s="41" t="str">
        <f>+_xlfn.XLOOKUP($C60,$C$72:$C$105,AI$72:AI$105,"")</f>
        <v/>
      </c>
      <c r="AJ60" s="41" t="str">
        <f>+_xlfn.XLOOKUP($C60,$C$72:$C$105,AJ$72:AJ$105,"")</f>
        <v/>
      </c>
      <c r="AK60" s="41" t="str">
        <f>+_xlfn.XLOOKUP($C60,$C$72:$C$105,AK$72:AK$105,"")</f>
        <v/>
      </c>
      <c r="AL60" s="41">
        <f>+_xlfn.XLOOKUP($C60,$C$72:$C$105,AL$72:AL$105,"")</f>
        <v>-45</v>
      </c>
      <c r="AM60" s="41">
        <f>+_xlfn.XLOOKUP($C60,$C$72:$C$105,AM$72:AM$105,"")</f>
        <v>-30</v>
      </c>
      <c r="AN60" s="41" t="str">
        <f>+_xlfn.XLOOKUP($C60,$C$72:$C$105,AN$72:AN$105,"")</f>
        <v/>
      </c>
      <c r="AO60" s="41" t="str">
        <f>+_xlfn.XLOOKUP($C60,$C$72:$C$105,AO$72:AO$105,"")</f>
        <v/>
      </c>
      <c r="AP60" s="41" t="str">
        <f>+_xlfn.XLOOKUP($C60,$C$72:$C$105,AP$72:AP$105,"")</f>
        <v/>
      </c>
      <c r="AQ60" s="41" t="str">
        <f>+_xlfn.XLOOKUP($C60,$C$72:$C$105,AQ$72:AQ$105,"")</f>
        <v/>
      </c>
      <c r="AR60" s="41">
        <f>+_xlfn.XLOOKUP($C60,$C$72:$C$105,AR$72:AR$105,"")</f>
        <v>-15</v>
      </c>
      <c r="AS60" s="41" t="str">
        <f>+_xlfn.XLOOKUP($C60,$C$72:$C$105,AS$72:AS$105,"")</f>
        <v/>
      </c>
      <c r="AT60" s="41">
        <f>+_xlfn.XLOOKUP($C60,$C$72:$C$105,AT$72:AT$105,"")</f>
        <v>-30</v>
      </c>
      <c r="AU60" s="41" t="str">
        <f>+_xlfn.XLOOKUP($C60,$C$72:$C$105,AU$72:AU$105,"")</f>
        <v/>
      </c>
      <c r="AV60" s="41" t="str">
        <f>+_xlfn.XLOOKUP($C60,$C$72:$C$105,AV$72:AV$105,"")</f>
        <v/>
      </c>
      <c r="AW60" s="41" t="str">
        <f>+_xlfn.XLOOKUP($C60,$C$72:$C$105,AW$72:AW$105,"")</f>
        <v/>
      </c>
      <c r="AX60" s="41" t="str">
        <f>+_xlfn.XLOOKUP($C60,$C$72:$C$105,AX$72:AX$105,"")</f>
        <v/>
      </c>
      <c r="AY60" s="41" t="str">
        <f>+_xlfn.XLOOKUP($C60,$C$72:$C$105,AY$72:AY$105,"")</f>
        <v/>
      </c>
      <c r="AZ60" s="41" t="str">
        <f>+_xlfn.XLOOKUP($C60,$C$72:$C$105,AZ$72:AZ$105,"")</f>
        <v/>
      </c>
      <c r="BA60" s="41">
        <f>+_xlfn.XLOOKUP($C60,$C$72:$C$105,BA$72:BA$105,"")</f>
        <v>80</v>
      </c>
      <c r="BB60" s="41" t="str">
        <f>+_xlfn.XLOOKUP($C60,$C$72:$C$105,BB$72:BB$105,"")</f>
        <v/>
      </c>
      <c r="BC60" s="41" t="str">
        <f>+_xlfn.XLOOKUP($C60,$C$72:$C$105,BC$72:BC$105,"")</f>
        <v/>
      </c>
      <c r="BD60" s="41" t="str">
        <f>+_xlfn.XLOOKUP($C60,$C$72:$C$105,BD$72:BD$105,"")</f>
        <v/>
      </c>
      <c r="BE60" s="41">
        <f>+_xlfn.XLOOKUP($C60,$C$72:$C$105,BE$72:BE$105,"")</f>
        <v>-10</v>
      </c>
      <c r="BF60" s="41">
        <f>+_xlfn.XLOOKUP($C60,$C$72:$C$105,BF$72:BF$105,"")</f>
        <v>-10</v>
      </c>
      <c r="BG60" s="41" t="str">
        <f>+_xlfn.XLOOKUP($C60,$C$72:$C$105,BG$72:BG$105,"")</f>
        <v/>
      </c>
      <c r="BH60" s="41">
        <f>+_xlfn.XLOOKUP($C60,$C$72:$C$105,BH$72:BH$105,"")</f>
        <v>-60</v>
      </c>
      <c r="BI60" s="41">
        <f>+_xlfn.XLOOKUP($C60,$C$72:$C$105,BI$72:BI$105,"")</f>
        <v>-20</v>
      </c>
      <c r="BJ60" s="41" t="str">
        <f>+_xlfn.XLOOKUP($C60,$C$72:$C$105,BJ$72:BJ$105,"")</f>
        <v/>
      </c>
      <c r="BK60" s="41">
        <f>+_xlfn.XLOOKUP($C60,$C$72:$C$105,BK$72:BK$105,"")</f>
        <v>-20</v>
      </c>
      <c r="BL60" s="41" t="str">
        <f>+_xlfn.XLOOKUP($C60,$C$72:$C$105,BL$72:BL$105,"")</f>
        <v/>
      </c>
      <c r="BM60" s="41" t="str">
        <f>+_xlfn.XLOOKUP($C60,$C$72:$C$105,BM$72:BM$105,"")</f>
        <v/>
      </c>
      <c r="BN60" s="41" t="str">
        <f>+_xlfn.XLOOKUP($C60,$C$72:$C$105,BN$72:BN$105,"")</f>
        <v/>
      </c>
      <c r="BO60" s="41">
        <f>+_xlfn.XLOOKUP($C60,$C$72:$C$105,BO$72:BO$105,"")</f>
        <v>-40</v>
      </c>
      <c r="BP60" s="41">
        <f>+_xlfn.XLOOKUP($C60,$C$72:$C$105,BP$72:BP$105,"")</f>
        <v>-80</v>
      </c>
      <c r="BQ60" s="41">
        <f>+_xlfn.XLOOKUP($C60,$C$72:$C$105,BQ$72:BQ$105,"")</f>
        <v>-20</v>
      </c>
      <c r="BR60" s="41" t="str">
        <f>+_xlfn.XLOOKUP($C60,$C$72:$C$105,BR$72:BR$105,"")</f>
        <v/>
      </c>
      <c r="BS60" s="41" t="str">
        <f>+_xlfn.XLOOKUP($C60,$C$72:$C$105,BS$72:BS$105,"")</f>
        <v/>
      </c>
      <c r="BT60" s="41" t="str">
        <f>+_xlfn.XLOOKUP($C60,$C$72:$C$105,BT$72:BT$105,"")</f>
        <v/>
      </c>
      <c r="BU60" s="41" t="str">
        <f>+_xlfn.XLOOKUP($C60,$C$72:$C$105,BU$72:BU$105,"")</f>
        <v/>
      </c>
      <c r="BV60" s="41" t="str">
        <f>+_xlfn.XLOOKUP($C60,$C$72:$C$105,BV$72:BV$105,"")</f>
        <v/>
      </c>
      <c r="BW60" s="41">
        <f>+_xlfn.XLOOKUP($C60,$C$72:$C$105,BW$72:BW$105,"")</f>
        <v>-20</v>
      </c>
      <c r="BX60" s="41">
        <f>+_xlfn.XLOOKUP($C60,$C$72:$C$105,BX$72:BX$105,"")</f>
        <v>37.5</v>
      </c>
      <c r="BY60" s="41">
        <f>+_xlfn.XLOOKUP($C60,$C$72:$C$105,BY$72:BY$105,"")</f>
        <v>-100</v>
      </c>
      <c r="BZ60" s="41">
        <f>+_xlfn.XLOOKUP($C60,$C$72:$C$105,BZ$72:BZ$105,"")</f>
        <v>-20</v>
      </c>
      <c r="CA60" s="41" t="str">
        <f>+_xlfn.XLOOKUP($C60,$C$72:$C$105,CA$72:CA$105,"")</f>
        <v/>
      </c>
      <c r="CB60" s="41" t="str">
        <f>+_xlfn.XLOOKUP($C60,$C$72:$C$105,CB$72:CB$105,"")</f>
        <v/>
      </c>
      <c r="CC60" s="41" t="str">
        <f>+_xlfn.XLOOKUP($C60,$C$72:$C$105,CC$72:CC$105,"")</f>
        <v/>
      </c>
      <c r="CD60" s="41" t="str">
        <f>+_xlfn.XLOOKUP($C60,$C$72:$C$105,CD$72:CD$105,"")</f>
        <v/>
      </c>
      <c r="CE60" s="41" t="str">
        <f>+_xlfn.XLOOKUP($C60,$C$72:$C$105,CE$72:CE$105,"")</f>
        <v/>
      </c>
      <c r="CF60" s="41" t="str">
        <f>+_xlfn.XLOOKUP($C60,$C$72:$C$105,CF$72:CF$105,"")</f>
        <v/>
      </c>
      <c r="CG60" s="41" t="str">
        <f>+_xlfn.XLOOKUP($C60,$C$72:$C$105,CG$72:CG$105,"")</f>
        <v/>
      </c>
      <c r="CH60" s="41">
        <f>+_xlfn.XLOOKUP($C60,$C$72:$C$105,CH$72:CH$105,"")</f>
        <v>-30</v>
      </c>
      <c r="CI60" s="41" t="str">
        <f>+_xlfn.XLOOKUP($C60,$C$72:$C$105,CI$72:CI$105,"")</f>
        <v/>
      </c>
      <c r="CJ60" s="41">
        <f>+_xlfn.XLOOKUP($C60,$C$72:$C$105,CJ$72:CJ$105,"")</f>
        <v>80</v>
      </c>
      <c r="CK60" s="41">
        <f>+_xlfn.XLOOKUP($C60,$C$72:$C$105,CK$72:CK$105,"")</f>
        <v>-25</v>
      </c>
      <c r="CL60" s="41">
        <f>+_xlfn.XLOOKUP($C60,$C$72:$C$105,CL$72:CL$105,"")</f>
        <v>-90</v>
      </c>
      <c r="CM60" s="41">
        <f>+_xlfn.XLOOKUP($C60,$C$72:$C$105,CM$72:CM$105,"")</f>
        <v>0</v>
      </c>
      <c r="CN60" s="41">
        <f>+_xlfn.XLOOKUP($C60,$C$72:$C$105,CN$72:CN$105,"")</f>
        <v>6</v>
      </c>
      <c r="CO60" s="42"/>
      <c r="CP60" s="29">
        <f>+_xlfn.XLOOKUP($C60,$C$72:$C$105,CP$72:CP$105,"")</f>
        <v>-491.5</v>
      </c>
      <c r="CQ60" s="41"/>
      <c r="CR60" s="30">
        <f>+_xlfn.XLOOKUP($C60,$C$72:$C$105,CR$72:CR$105,"")</f>
        <v>-0.48663366336633662</v>
      </c>
      <c r="CS60" s="31">
        <f>+_xlfn.XLOOKUP($C60,$C$72:$C$105,CS$72:CS$105,"")</f>
        <v>28</v>
      </c>
      <c r="CT60" s="31">
        <f>+_xlfn.XLOOKUP($C60,$C$72:$C$105,CT$72:CT$105,"")</f>
        <v>6</v>
      </c>
      <c r="CU60" s="30">
        <f>+_xlfn.XLOOKUP($C60,$C$72:$C$105,CU$72:CU$105,"")</f>
        <v>0.21428571428571427</v>
      </c>
      <c r="CV60" s="30">
        <f>+_xlfn.XLOOKUP($C60,$C$72:$C$105,CV$72:CV$105,"")</f>
        <v>0.10592441266598571</v>
      </c>
      <c r="CW60" s="30">
        <f>+_xlfn.XLOOKUP($C60,$C$72:$C$105,CW$72:CW$105,"")</f>
        <v>0.20633299284984677</v>
      </c>
      <c r="CX60" s="32">
        <f>+_xlfn.XLOOKUP($C60,$C$72:$C$105,CX$72:CX$105,"")</f>
        <v>-17.553571428571427</v>
      </c>
    </row>
    <row r="61" spans="2:102" s="67" customFormat="1" ht="6" customHeight="1" x14ac:dyDescent="0.2">
      <c r="B61" s="63"/>
      <c r="C61" s="63"/>
      <c r="D61" s="64"/>
      <c r="E61" s="64"/>
      <c r="F61" s="64"/>
      <c r="G61" s="64"/>
      <c r="H61" s="64"/>
      <c r="I61" s="64"/>
      <c r="J61" s="64"/>
      <c r="K61" s="64"/>
      <c r="L61" s="64"/>
      <c r="M61" s="64"/>
      <c r="N61" s="64"/>
      <c r="O61" s="64"/>
      <c r="P61" s="64"/>
      <c r="Q61" s="64"/>
      <c r="R61" s="64"/>
      <c r="S61" s="64"/>
      <c r="T61" s="64"/>
      <c r="U61" s="64"/>
      <c r="V61" s="64"/>
      <c r="W61" s="64"/>
      <c r="X61" s="64"/>
      <c r="Y61" s="64"/>
      <c r="Z61" s="64"/>
      <c r="AA61" s="64"/>
      <c r="AB61" s="64"/>
      <c r="AC61" s="64"/>
      <c r="AD61" s="64"/>
      <c r="AE61" s="64"/>
      <c r="AF61" s="64"/>
      <c r="AG61" s="64"/>
      <c r="AH61" s="64"/>
      <c r="AI61" s="64"/>
      <c r="AJ61" s="64"/>
      <c r="AK61" s="64"/>
      <c r="AL61" s="64"/>
      <c r="AM61" s="64"/>
      <c r="AN61" s="64"/>
      <c r="AO61" s="64"/>
      <c r="AP61" s="64"/>
      <c r="AQ61" s="64"/>
      <c r="AR61" s="64"/>
      <c r="AS61" s="64"/>
      <c r="AT61" s="64"/>
      <c r="AU61" s="64"/>
      <c r="AV61" s="64"/>
      <c r="AW61" s="64"/>
      <c r="AX61" s="64"/>
      <c r="AY61" s="64"/>
      <c r="AZ61" s="64"/>
      <c r="BA61" s="64"/>
      <c r="BB61" s="64"/>
      <c r="BC61" s="64"/>
      <c r="BD61" s="64"/>
      <c r="BE61" s="64"/>
      <c r="BF61" s="64"/>
      <c r="BG61" s="64"/>
      <c r="BH61" s="64"/>
      <c r="BI61" s="64"/>
      <c r="BJ61" s="64"/>
      <c r="BK61" s="64"/>
      <c r="BL61" s="64"/>
      <c r="BM61" s="64"/>
      <c r="BN61" s="64"/>
      <c r="BO61" s="64"/>
      <c r="BP61" s="64"/>
      <c r="BQ61" s="64"/>
      <c r="BR61" s="64"/>
      <c r="BS61" s="64"/>
      <c r="BT61" s="64"/>
      <c r="BU61" s="64"/>
      <c r="BV61" s="64"/>
      <c r="BW61" s="64"/>
      <c r="BX61" s="64"/>
      <c r="BY61" s="64"/>
      <c r="BZ61" s="64"/>
      <c r="CA61" s="64"/>
      <c r="CB61" s="64"/>
      <c r="CC61" s="64"/>
      <c r="CD61" s="64"/>
      <c r="CE61" s="64"/>
      <c r="CF61" s="64"/>
      <c r="CG61" s="64"/>
      <c r="CH61" s="64"/>
      <c r="CI61" s="64"/>
      <c r="CJ61" s="64"/>
      <c r="CK61" s="64"/>
      <c r="CL61" s="64"/>
      <c r="CM61" s="64"/>
      <c r="CN61" s="64"/>
      <c r="CO61" s="65"/>
      <c r="CP61" s="66"/>
      <c r="CQ61" s="65"/>
    </row>
    <row r="62" spans="2:102" s="25" customFormat="1" ht="12.75" customHeight="1" x14ac:dyDescent="0.2">
      <c r="B62" s="43"/>
      <c r="C62" s="43" t="s">
        <v>7</v>
      </c>
      <c r="D62" s="44">
        <f>+D106</f>
        <v>4</v>
      </c>
      <c r="E62" s="44">
        <f t="shared" ref="E62:T62" si="95">+E106</f>
        <v>7</v>
      </c>
      <c r="F62" s="44">
        <f t="shared" si="95"/>
        <v>7</v>
      </c>
      <c r="G62" s="44">
        <f t="shared" si="95"/>
        <v>4</v>
      </c>
      <c r="H62" s="44">
        <f t="shared" si="95"/>
        <v>4</v>
      </c>
      <c r="I62" s="44">
        <f t="shared" si="95"/>
        <v>4</v>
      </c>
      <c r="J62" s="44">
        <f t="shared" si="95"/>
        <v>5</v>
      </c>
      <c r="K62" s="44">
        <f t="shared" si="95"/>
        <v>5</v>
      </c>
      <c r="L62" s="44">
        <f t="shared" si="95"/>
        <v>4</v>
      </c>
      <c r="M62" s="44">
        <f t="shared" si="95"/>
        <v>4</v>
      </c>
      <c r="N62" s="44">
        <f>+N106</f>
        <v>4</v>
      </c>
      <c r="O62" s="44">
        <f>+O106</f>
        <v>4</v>
      </c>
      <c r="P62" s="44">
        <f>+P106</f>
        <v>5</v>
      </c>
      <c r="Q62" s="44">
        <f>+Q106</f>
        <v>7</v>
      </c>
      <c r="R62" s="44">
        <f t="shared" si="95"/>
        <v>5</v>
      </c>
      <c r="S62" s="44">
        <f t="shared" si="95"/>
        <v>5</v>
      </c>
      <c r="T62" s="44">
        <f t="shared" si="95"/>
        <v>7</v>
      </c>
      <c r="U62" s="44">
        <f t="shared" ref="U62:Z62" si="96">+U106</f>
        <v>4</v>
      </c>
      <c r="V62" s="44">
        <f t="shared" si="96"/>
        <v>6</v>
      </c>
      <c r="W62" s="44">
        <f t="shared" si="96"/>
        <v>6</v>
      </c>
      <c r="X62" s="44">
        <f t="shared" si="96"/>
        <v>6</v>
      </c>
      <c r="Y62" s="44">
        <f t="shared" si="96"/>
        <v>4</v>
      </c>
      <c r="Z62" s="44">
        <f t="shared" si="96"/>
        <v>5</v>
      </c>
      <c r="AA62" s="44">
        <f t="shared" ref="AA62" si="97">+AA106</f>
        <v>5</v>
      </c>
      <c r="AB62" s="44">
        <f t="shared" ref="AB62" si="98">+AB106</f>
        <v>5</v>
      </c>
      <c r="AC62" s="44">
        <f t="shared" ref="AC62" si="99">+AC106</f>
        <v>5</v>
      </c>
      <c r="AD62" s="44">
        <f>+AD106</f>
        <v>4</v>
      </c>
      <c r="AE62" s="44">
        <f>+AE106</f>
        <v>4</v>
      </c>
      <c r="AF62" s="44">
        <f t="shared" ref="AF62:AG62" si="100">+AF106</f>
        <v>5</v>
      </c>
      <c r="AG62" s="44">
        <f t="shared" si="100"/>
        <v>4</v>
      </c>
      <c r="AH62" s="44">
        <f t="shared" ref="AH62:AI62" si="101">+AH106</f>
        <v>4</v>
      </c>
      <c r="AI62" s="44">
        <f t="shared" si="101"/>
        <v>4</v>
      </c>
      <c r="AJ62" s="44">
        <f t="shared" ref="AJ62:AK62" si="102">+AJ106</f>
        <v>7</v>
      </c>
      <c r="AK62" s="44">
        <f t="shared" si="102"/>
        <v>5</v>
      </c>
      <c r="AL62" s="44">
        <f t="shared" ref="AL62:AM62" si="103">+AL106</f>
        <v>5</v>
      </c>
      <c r="AM62" s="44">
        <f t="shared" si="103"/>
        <v>4</v>
      </c>
      <c r="AN62" s="44">
        <f t="shared" ref="AN62:AO62" si="104">+AN106</f>
        <v>5</v>
      </c>
      <c r="AO62" s="44">
        <f t="shared" si="104"/>
        <v>5</v>
      </c>
      <c r="AP62" s="44">
        <f t="shared" ref="AP62:AQ62" si="105">+AP106</f>
        <v>4</v>
      </c>
      <c r="AQ62" s="44">
        <f t="shared" si="105"/>
        <v>5</v>
      </c>
      <c r="AR62" s="44">
        <f t="shared" ref="AR62:AS62" si="106">+AR106</f>
        <v>4</v>
      </c>
      <c r="AS62" s="44">
        <f t="shared" si="106"/>
        <v>9</v>
      </c>
      <c r="AT62" s="44">
        <f t="shared" ref="AT62:AU62" si="107">+AT106</f>
        <v>5</v>
      </c>
      <c r="AU62" s="44">
        <f t="shared" si="107"/>
        <v>4</v>
      </c>
      <c r="AV62" s="44">
        <f t="shared" ref="AV62:AW62" si="108">+AV106</f>
        <v>6</v>
      </c>
      <c r="AW62" s="44">
        <f t="shared" si="108"/>
        <v>8</v>
      </c>
      <c r="AX62" s="44">
        <f>+AX106</f>
        <v>4</v>
      </c>
      <c r="AY62" s="44">
        <f t="shared" ref="AY62" si="109">+AY106</f>
        <v>4</v>
      </c>
      <c r="AZ62" s="44">
        <f t="shared" ref="AZ62:BA62" si="110">+AZ106</f>
        <v>6</v>
      </c>
      <c r="BA62" s="44">
        <f t="shared" si="110"/>
        <v>4</v>
      </c>
      <c r="BB62" s="44">
        <f t="shared" ref="BB62:BC62" si="111">+BB106</f>
        <v>4</v>
      </c>
      <c r="BC62" s="44">
        <f t="shared" si="111"/>
        <v>5</v>
      </c>
      <c r="BD62" s="44">
        <f t="shared" ref="BD62:BI62" si="112">+BD106</f>
        <v>6</v>
      </c>
      <c r="BE62" s="44">
        <f t="shared" si="112"/>
        <v>4</v>
      </c>
      <c r="BF62" s="44">
        <f t="shared" si="112"/>
        <v>6</v>
      </c>
      <c r="BG62" s="44">
        <f t="shared" si="112"/>
        <v>5</v>
      </c>
      <c r="BH62" s="44">
        <f t="shared" si="112"/>
        <v>8</v>
      </c>
      <c r="BI62" s="44">
        <f t="shared" si="112"/>
        <v>5</v>
      </c>
      <c r="BJ62" s="44">
        <f t="shared" ref="BJ62:BO62" si="113">+BJ106</f>
        <v>4</v>
      </c>
      <c r="BK62" s="44">
        <f t="shared" si="113"/>
        <v>5</v>
      </c>
      <c r="BL62" s="44">
        <f t="shared" si="113"/>
        <v>6</v>
      </c>
      <c r="BM62" s="44">
        <f t="shared" si="113"/>
        <v>5</v>
      </c>
      <c r="BN62" s="44">
        <f t="shared" si="113"/>
        <v>4</v>
      </c>
      <c r="BO62" s="44">
        <f t="shared" si="113"/>
        <v>4</v>
      </c>
      <c r="BP62" s="44">
        <f t="shared" ref="BP62:BQ62" si="114">+BP106</f>
        <v>12</v>
      </c>
      <c r="BQ62" s="44">
        <f t="shared" si="114"/>
        <v>6</v>
      </c>
      <c r="BR62" s="44">
        <f t="shared" ref="BR62:BS62" si="115">+BR106</f>
        <v>5</v>
      </c>
      <c r="BS62" s="44">
        <f t="shared" si="115"/>
        <v>4</v>
      </c>
      <c r="BT62" s="44">
        <f t="shared" ref="BT62:BV62" si="116">+BT106</f>
        <v>6</v>
      </c>
      <c r="BU62" s="44">
        <f t="shared" si="116"/>
        <v>6</v>
      </c>
      <c r="BV62" s="44">
        <f t="shared" si="116"/>
        <v>7</v>
      </c>
      <c r="BW62" s="44">
        <f t="shared" ref="BW62:BX62" si="117">+BW106</f>
        <v>5</v>
      </c>
      <c r="BX62" s="44">
        <f t="shared" si="117"/>
        <v>6</v>
      </c>
      <c r="BY62" s="44">
        <f t="shared" ref="BY62:BZ62" si="118">+BY106</f>
        <v>7</v>
      </c>
      <c r="BZ62" s="44">
        <f t="shared" si="118"/>
        <v>4</v>
      </c>
      <c r="CA62" s="44">
        <f t="shared" ref="CA62:CB62" si="119">+CA106</f>
        <v>8</v>
      </c>
      <c r="CB62" s="44">
        <f t="shared" si="119"/>
        <v>7</v>
      </c>
      <c r="CC62" s="44">
        <f t="shared" ref="CC62:CD62" si="120">+CC106</f>
        <v>6</v>
      </c>
      <c r="CD62" s="44">
        <f t="shared" si="120"/>
        <v>6</v>
      </c>
      <c r="CE62" s="44">
        <f t="shared" ref="CE62:CF62" si="121">+CE106</f>
        <v>7</v>
      </c>
      <c r="CF62" s="44">
        <f t="shared" si="121"/>
        <v>5</v>
      </c>
      <c r="CG62" s="44">
        <f t="shared" ref="CG62:CH62" si="122">+CG106</f>
        <v>4</v>
      </c>
      <c r="CH62" s="44">
        <f t="shared" si="122"/>
        <v>7</v>
      </c>
      <c r="CI62" s="44">
        <f t="shared" ref="CI62:CJ62" si="123">+CI106</f>
        <v>4</v>
      </c>
      <c r="CJ62" s="44">
        <f t="shared" si="123"/>
        <v>5</v>
      </c>
      <c r="CK62" s="44">
        <f t="shared" ref="CK62:CL62" si="124">+CK106</f>
        <v>8</v>
      </c>
      <c r="CL62" s="44">
        <f t="shared" si="124"/>
        <v>6</v>
      </c>
      <c r="CM62" s="44">
        <f t="shared" ref="CM62:CN62" si="125">+CM106</f>
        <v>5</v>
      </c>
      <c r="CN62" s="44">
        <f t="shared" si="125"/>
        <v>6</v>
      </c>
      <c r="CO62" s="44"/>
      <c r="CP62" s="23"/>
      <c r="CQ62" s="44"/>
      <c r="CR62" s="45"/>
      <c r="CS62" s="44"/>
      <c r="CT62" s="46"/>
      <c r="CU62" s="45"/>
      <c r="CV62" s="45"/>
      <c r="CW62" s="45"/>
      <c r="CX62" s="44"/>
    </row>
    <row r="63" spans="2:102" s="25" customFormat="1" ht="12.75" customHeight="1" x14ac:dyDescent="0.2">
      <c r="B63" s="43"/>
      <c r="C63" s="43"/>
      <c r="D63" s="44"/>
      <c r="E63" s="44"/>
      <c r="F63" s="44"/>
      <c r="G63" s="44"/>
      <c r="H63" s="44"/>
      <c r="I63" s="44"/>
      <c r="J63" s="44"/>
      <c r="K63" s="44"/>
      <c r="L63" s="44"/>
      <c r="M63" s="44"/>
      <c r="N63" s="44"/>
      <c r="O63" s="44"/>
      <c r="P63" s="44"/>
      <c r="Q63" s="44"/>
      <c r="R63" s="44"/>
      <c r="S63" s="44"/>
      <c r="T63" s="44"/>
      <c r="U63" s="44"/>
      <c r="V63" s="44"/>
      <c r="W63" s="44"/>
      <c r="X63" s="44"/>
      <c r="Y63" s="44"/>
      <c r="Z63" s="44"/>
      <c r="AA63" s="44"/>
      <c r="AB63" s="44"/>
      <c r="AC63" s="44"/>
      <c r="AD63" s="44"/>
      <c r="AE63" s="44"/>
      <c r="AF63" s="44"/>
      <c r="AG63" s="44"/>
      <c r="AH63" s="44"/>
      <c r="AI63" s="44"/>
      <c r="AJ63" s="44"/>
      <c r="AK63" s="44"/>
      <c r="AL63" s="44"/>
      <c r="AM63" s="44"/>
      <c r="AN63" s="44"/>
      <c r="AO63" s="44"/>
      <c r="AP63" s="44"/>
      <c r="AQ63" s="44"/>
      <c r="AR63" s="44"/>
      <c r="AS63" s="44"/>
      <c r="AT63" s="44"/>
      <c r="AU63" s="44"/>
      <c r="AV63" s="44"/>
      <c r="AW63" s="44"/>
      <c r="AX63" s="44"/>
      <c r="AY63" s="44"/>
      <c r="AZ63" s="44"/>
      <c r="BA63" s="44"/>
      <c r="BB63" s="44"/>
      <c r="BC63" s="44"/>
      <c r="BD63" s="44"/>
      <c r="BE63" s="44"/>
      <c r="BF63" s="44"/>
      <c r="BG63" s="44"/>
      <c r="BH63" s="44"/>
      <c r="BI63" s="44"/>
      <c r="BJ63" s="44"/>
      <c r="BK63" s="44"/>
      <c r="BL63" s="44"/>
      <c r="BM63" s="44"/>
      <c r="BN63" s="44"/>
      <c r="BO63" s="44"/>
      <c r="BP63" s="44"/>
      <c r="BQ63" s="44"/>
      <c r="BR63" s="44"/>
      <c r="BS63" s="44"/>
      <c r="BT63" s="44"/>
      <c r="BU63" s="44"/>
      <c r="BV63" s="44"/>
      <c r="BW63" s="44"/>
      <c r="BX63" s="44"/>
      <c r="BY63" s="44"/>
      <c r="BZ63" s="44"/>
      <c r="CA63" s="44"/>
      <c r="CB63" s="44"/>
      <c r="CC63" s="44"/>
      <c r="CD63" s="44"/>
      <c r="CE63" s="44"/>
      <c r="CF63" s="44"/>
      <c r="CG63" s="44"/>
      <c r="CH63" s="44"/>
      <c r="CI63" s="44"/>
      <c r="CJ63" s="44"/>
      <c r="CK63" s="44"/>
      <c r="CL63" s="44"/>
      <c r="CM63" s="44"/>
      <c r="CN63" s="44"/>
      <c r="CO63" s="44"/>
      <c r="CP63" s="23"/>
      <c r="CQ63" s="44"/>
      <c r="CR63" s="45"/>
      <c r="CS63" s="44"/>
      <c r="CT63" s="46"/>
      <c r="CU63" s="44"/>
      <c r="CV63" s="44"/>
      <c r="CW63" s="44"/>
      <c r="CX63" s="44"/>
    </row>
    <row r="64" spans="2:102" ht="12.75" customHeight="1" x14ac:dyDescent="0.2"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  <c r="AK64" s="4"/>
      <c r="AL64" s="4"/>
      <c r="AM64" s="4"/>
      <c r="AN64" s="4"/>
      <c r="AO64" s="4"/>
      <c r="AP64" s="4"/>
      <c r="AQ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4"/>
      <c r="BC64" s="4"/>
      <c r="BD64" s="4"/>
      <c r="BE64" s="4"/>
      <c r="BF64" s="4"/>
      <c r="BG64" s="4"/>
      <c r="BH64" s="4"/>
      <c r="BI64" s="4"/>
      <c r="BJ64" s="4"/>
      <c r="BK64" s="4"/>
      <c r="BL64" s="4"/>
      <c r="BM64" s="4"/>
      <c r="BN64" s="4"/>
      <c r="BO64" s="4"/>
      <c r="BP64" s="4"/>
      <c r="BQ64" s="4"/>
      <c r="BR64" s="4"/>
      <c r="BS64" s="4"/>
      <c r="BT64" s="4"/>
      <c r="BU64" s="4"/>
      <c r="BV64" s="4"/>
      <c r="BW64" s="4"/>
      <c r="BX64" s="4"/>
      <c r="BY64" s="4"/>
      <c r="BZ64" s="4"/>
      <c r="CA64" s="4"/>
      <c r="CB64" s="4"/>
      <c r="CC64" s="4"/>
      <c r="CD64" s="4"/>
      <c r="CE64" s="4"/>
      <c r="CF64" s="4"/>
      <c r="CG64" s="4"/>
      <c r="CH64" s="4"/>
      <c r="CI64" s="4"/>
      <c r="CJ64" s="4"/>
      <c r="CK64" s="4"/>
      <c r="CL64" s="4"/>
      <c r="CM64" s="4"/>
      <c r="CN64" s="4"/>
      <c r="CO64" s="4"/>
      <c r="CP64" s="4"/>
      <c r="CQ64" s="4"/>
      <c r="CR64" s="4"/>
      <c r="CS64" s="4"/>
      <c r="CT64" s="4"/>
      <c r="CU64" s="4"/>
      <c r="CV64" s="4"/>
      <c r="CW64" s="4"/>
      <c r="CX64" s="4"/>
    </row>
    <row r="65" spans="2:102" ht="12.75" customHeight="1" x14ac:dyDescent="0.2">
      <c r="B65" s="5" t="s">
        <v>15</v>
      </c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16"/>
      <c r="CU65" s="16"/>
      <c r="CV65" s="16"/>
      <c r="CW65" s="16"/>
      <c r="CX65" s="16"/>
    </row>
    <row r="66" spans="2:102" ht="12.75" customHeight="1" x14ac:dyDescent="0.2"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  <c r="AL66" s="4"/>
      <c r="AM66" s="4"/>
      <c r="AN66" s="4"/>
      <c r="AO66" s="4"/>
      <c r="AP66" s="4"/>
      <c r="AQ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4"/>
      <c r="BC66" s="4"/>
      <c r="BD66" s="4"/>
      <c r="BE66" s="4"/>
      <c r="BF66" s="4"/>
      <c r="BG66" s="4"/>
      <c r="BH66" s="4"/>
      <c r="BI66" s="4"/>
      <c r="BJ66" s="4"/>
      <c r="BK66" s="4"/>
      <c r="BL66" s="4"/>
      <c r="BM66" s="4"/>
      <c r="BN66" s="4"/>
      <c r="BO66" s="4"/>
      <c r="BP66" s="4"/>
      <c r="BQ66" s="4"/>
      <c r="BR66" s="4"/>
      <c r="BS66" s="4"/>
      <c r="BT66" s="4"/>
      <c r="BU66" s="4"/>
      <c r="BV66" s="4"/>
      <c r="BW66" s="4"/>
      <c r="BX66" s="4"/>
      <c r="BY66" s="4"/>
      <c r="BZ66" s="4"/>
      <c r="CA66" s="4"/>
      <c r="CB66" s="4"/>
      <c r="CC66" s="4"/>
      <c r="CD66" s="4"/>
      <c r="CE66" s="4"/>
      <c r="CF66" s="4"/>
      <c r="CG66" s="4"/>
      <c r="CH66" s="4"/>
      <c r="CI66" s="4"/>
      <c r="CJ66" s="4"/>
      <c r="CK66" s="4"/>
      <c r="CL66" s="4"/>
      <c r="CM66" s="4"/>
      <c r="CN66" s="4"/>
      <c r="CO66" s="4"/>
      <c r="CP66" s="4"/>
      <c r="CQ66" s="4"/>
      <c r="CR66" s="4"/>
      <c r="CS66" s="4"/>
      <c r="CT66" s="47"/>
      <c r="CU66" s="47"/>
      <c r="CV66" s="47"/>
      <c r="CW66" s="47"/>
      <c r="CX66" s="47"/>
    </row>
    <row r="67" spans="2:102" s="20" customFormat="1" ht="12.75" customHeight="1" x14ac:dyDescent="0.2">
      <c r="B67" s="17" t="s">
        <v>16</v>
      </c>
      <c r="C67" s="17"/>
      <c r="D67" s="18"/>
      <c r="E67" s="18"/>
      <c r="F67" s="18"/>
      <c r="G67" s="18"/>
      <c r="H67" s="18"/>
      <c r="I67" s="18"/>
      <c r="J67" s="18"/>
      <c r="K67" s="18"/>
      <c r="L67" s="18"/>
      <c r="M67" s="18"/>
      <c r="N67" s="18"/>
      <c r="O67" s="18"/>
      <c r="P67" s="18"/>
      <c r="Q67" s="18"/>
      <c r="R67" s="18"/>
      <c r="S67" s="18"/>
      <c r="T67" s="18"/>
      <c r="U67" s="18"/>
      <c r="V67" s="18"/>
      <c r="W67" s="18"/>
      <c r="X67" s="18"/>
      <c r="Y67" s="18"/>
      <c r="Z67" s="18"/>
      <c r="AA67" s="18"/>
      <c r="AB67" s="18"/>
      <c r="AC67" s="18"/>
      <c r="AD67" s="18"/>
      <c r="AE67" s="18"/>
      <c r="AF67" s="18"/>
      <c r="AG67" s="18"/>
      <c r="AH67" s="18"/>
      <c r="AI67" s="18"/>
      <c r="AJ67" s="18"/>
      <c r="AK67" s="18"/>
      <c r="AL67" s="18"/>
      <c r="AM67" s="18"/>
      <c r="AN67" s="18"/>
      <c r="AO67" s="18"/>
      <c r="AP67" s="18"/>
      <c r="AQ67" s="18"/>
      <c r="AR67" s="18"/>
      <c r="AS67" s="18"/>
      <c r="AT67" s="18"/>
      <c r="AU67" s="18"/>
      <c r="AV67" s="18"/>
      <c r="AW67" s="18"/>
      <c r="AX67" s="18"/>
      <c r="AY67" s="18"/>
      <c r="AZ67" s="18"/>
      <c r="BA67" s="18"/>
      <c r="BB67" s="18"/>
      <c r="BC67" s="18"/>
      <c r="BD67" s="18"/>
      <c r="BE67" s="18"/>
      <c r="BF67" s="18"/>
      <c r="BG67" s="18"/>
      <c r="BH67" s="18"/>
      <c r="BI67" s="18"/>
      <c r="BJ67" s="18"/>
      <c r="BK67" s="18"/>
      <c r="BL67" s="18"/>
      <c r="BM67" s="18"/>
      <c r="BN67" s="18"/>
      <c r="BO67" s="18"/>
      <c r="BP67" s="18"/>
      <c r="BQ67" s="18"/>
      <c r="BR67" s="18"/>
      <c r="BS67" s="18"/>
      <c r="BT67" s="18"/>
      <c r="BU67" s="18"/>
      <c r="BV67" s="18"/>
      <c r="BW67" s="18"/>
      <c r="BX67" s="18"/>
      <c r="BY67" s="18"/>
      <c r="BZ67" s="18"/>
      <c r="CA67" s="18"/>
      <c r="CB67" s="18"/>
      <c r="CC67" s="18"/>
      <c r="CD67" s="18"/>
      <c r="CE67" s="18"/>
      <c r="CF67" s="18"/>
      <c r="CG67" s="18"/>
      <c r="CH67" s="18"/>
      <c r="CI67" s="18"/>
      <c r="CJ67" s="18"/>
      <c r="CK67" s="18"/>
      <c r="CL67" s="18"/>
      <c r="CM67" s="18"/>
      <c r="CN67" s="18"/>
      <c r="CO67" s="18"/>
      <c r="CP67" s="17"/>
      <c r="CQ67" s="19"/>
      <c r="CR67" s="17" t="s">
        <v>11</v>
      </c>
      <c r="CS67" s="17"/>
      <c r="CT67" s="17"/>
      <c r="CU67" s="17"/>
      <c r="CV67" s="17"/>
      <c r="CW67" s="17"/>
      <c r="CX67" s="17"/>
    </row>
    <row r="68" spans="2:102" ht="12.75" hidden="1" customHeight="1" outlineLevel="1" x14ac:dyDescent="0.2"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4"/>
      <c r="AL68" s="4"/>
      <c r="AM68" s="4"/>
      <c r="AN68" s="4"/>
      <c r="AO68" s="4"/>
      <c r="AP68" s="4"/>
      <c r="AQ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4"/>
      <c r="BC68" s="4"/>
      <c r="BD68" s="4"/>
      <c r="BE68" s="4"/>
      <c r="BF68" s="4"/>
      <c r="BG68" s="4"/>
      <c r="BH68" s="4"/>
      <c r="BI68" s="4"/>
      <c r="BJ68" s="4"/>
      <c r="BK68" s="4"/>
      <c r="BL68" s="4"/>
      <c r="BM68" s="4"/>
      <c r="BN68" s="4"/>
      <c r="BO68" s="4"/>
      <c r="BP68" s="4"/>
      <c r="BQ68" s="4"/>
      <c r="BR68" s="4"/>
      <c r="BS68" s="4"/>
      <c r="BT68" s="4"/>
      <c r="BU68" s="4"/>
      <c r="BV68" s="4"/>
      <c r="BW68" s="4"/>
      <c r="BX68" s="4"/>
      <c r="BY68" s="4"/>
      <c r="BZ68" s="4"/>
      <c r="CA68" s="4"/>
      <c r="CB68" s="4"/>
      <c r="CC68" s="4"/>
      <c r="CD68" s="4"/>
      <c r="CE68" s="4"/>
      <c r="CF68" s="4"/>
      <c r="CG68" s="4"/>
      <c r="CH68" s="4"/>
      <c r="CI68" s="4"/>
      <c r="CJ68" s="4"/>
      <c r="CK68" s="4"/>
      <c r="CL68" s="4"/>
      <c r="CM68" s="4"/>
      <c r="CN68" s="4"/>
      <c r="CO68" s="4"/>
      <c r="CP68" s="4"/>
      <c r="CQ68" s="4"/>
      <c r="CR68" s="4"/>
      <c r="CS68" s="4"/>
      <c r="CT68" s="4"/>
      <c r="CU68" s="4"/>
      <c r="CV68" s="4"/>
      <c r="CW68" s="4"/>
      <c r="CX68" s="4"/>
    </row>
    <row r="69" spans="2:102" s="24" customFormat="1" ht="12.75" hidden="1" customHeight="1" outlineLevel="1" x14ac:dyDescent="0.2">
      <c r="B69" s="21"/>
      <c r="C69" s="21" t="s">
        <v>12</v>
      </c>
      <c r="D69" s="22">
        <v>1</v>
      </c>
      <c r="E69" s="22">
        <f>+D69+1</f>
        <v>2</v>
      </c>
      <c r="F69" s="22">
        <f t="shared" ref="F69:O69" si="126">+E69+1</f>
        <v>3</v>
      </c>
      <c r="G69" s="22">
        <f t="shared" si="126"/>
        <v>4</v>
      </c>
      <c r="H69" s="22">
        <f t="shared" si="126"/>
        <v>5</v>
      </c>
      <c r="I69" s="22">
        <f t="shared" si="126"/>
        <v>6</v>
      </c>
      <c r="J69" s="22">
        <f t="shared" si="126"/>
        <v>7</v>
      </c>
      <c r="K69" s="22">
        <f t="shared" si="126"/>
        <v>8</v>
      </c>
      <c r="L69" s="22">
        <f t="shared" si="126"/>
        <v>9</v>
      </c>
      <c r="M69" s="22">
        <f t="shared" si="126"/>
        <v>10</v>
      </c>
      <c r="N69" s="22">
        <f t="shared" si="126"/>
        <v>11</v>
      </c>
      <c r="O69" s="22">
        <f t="shared" si="126"/>
        <v>12</v>
      </c>
      <c r="P69" s="22">
        <f t="shared" ref="P69:AE69" si="127">+O69+1</f>
        <v>13</v>
      </c>
      <c r="Q69" s="22">
        <f t="shared" si="127"/>
        <v>14</v>
      </c>
      <c r="R69" s="22">
        <f t="shared" si="127"/>
        <v>15</v>
      </c>
      <c r="S69" s="22">
        <f t="shared" si="127"/>
        <v>16</v>
      </c>
      <c r="T69" s="22">
        <f t="shared" si="127"/>
        <v>17</v>
      </c>
      <c r="U69" s="22">
        <f t="shared" si="127"/>
        <v>18</v>
      </c>
      <c r="V69" s="22">
        <f t="shared" si="127"/>
        <v>19</v>
      </c>
      <c r="W69" s="22">
        <f t="shared" si="127"/>
        <v>20</v>
      </c>
      <c r="X69" s="22">
        <f t="shared" si="127"/>
        <v>21</v>
      </c>
      <c r="Y69" s="22">
        <f t="shared" si="127"/>
        <v>22</v>
      </c>
      <c r="Z69" s="22">
        <f t="shared" si="127"/>
        <v>23</v>
      </c>
      <c r="AA69" s="22">
        <f t="shared" si="127"/>
        <v>24</v>
      </c>
      <c r="AB69" s="22">
        <f t="shared" si="127"/>
        <v>25</v>
      </c>
      <c r="AC69" s="22">
        <f t="shared" si="127"/>
        <v>26</v>
      </c>
      <c r="AD69" s="22">
        <f t="shared" si="127"/>
        <v>27</v>
      </c>
      <c r="AE69" s="22">
        <f t="shared" si="127"/>
        <v>28</v>
      </c>
      <c r="AF69" s="22">
        <f t="shared" ref="AF69" si="128">+AE69+1</f>
        <v>29</v>
      </c>
      <c r="AG69" s="22">
        <f t="shared" ref="AG69:AI69" si="129">+AF69+1</f>
        <v>30</v>
      </c>
      <c r="AH69" s="22">
        <f t="shared" si="129"/>
        <v>31</v>
      </c>
      <c r="AI69" s="22">
        <f t="shared" si="129"/>
        <v>32</v>
      </c>
      <c r="AJ69" s="22">
        <f t="shared" ref="AJ69" si="130">+AI69+1</f>
        <v>33</v>
      </c>
      <c r="AK69" s="22">
        <f t="shared" ref="AK69:AM69" si="131">+AJ69+1</f>
        <v>34</v>
      </c>
      <c r="AL69" s="22">
        <f t="shared" si="131"/>
        <v>35</v>
      </c>
      <c r="AM69" s="22">
        <f t="shared" si="131"/>
        <v>36</v>
      </c>
      <c r="AN69" s="22">
        <f t="shared" ref="AN69" si="132">+AM69+1</f>
        <v>37</v>
      </c>
      <c r="AO69" s="22">
        <f t="shared" ref="AO69:AS69" si="133">+AN69+1</f>
        <v>38</v>
      </c>
      <c r="AP69" s="22">
        <f t="shared" si="133"/>
        <v>39</v>
      </c>
      <c r="AQ69" s="22">
        <f t="shared" si="133"/>
        <v>40</v>
      </c>
      <c r="AR69" s="22">
        <f t="shared" si="133"/>
        <v>41</v>
      </c>
      <c r="AS69" s="22">
        <f t="shared" si="133"/>
        <v>42</v>
      </c>
      <c r="AT69" s="22">
        <f t="shared" ref="AT69" si="134">+AS69+1</f>
        <v>43</v>
      </c>
      <c r="AU69" s="22">
        <f t="shared" ref="AU69:AW69" si="135">+AT69+1</f>
        <v>44</v>
      </c>
      <c r="AV69" s="22">
        <f t="shared" si="135"/>
        <v>45</v>
      </c>
      <c r="AW69" s="22">
        <f t="shared" si="135"/>
        <v>46</v>
      </c>
      <c r="AX69" s="22">
        <f t="shared" ref="AX69" si="136">+AW69+1</f>
        <v>47</v>
      </c>
      <c r="AY69" s="22">
        <f t="shared" ref="AY69:BC69" si="137">+AX69+1</f>
        <v>48</v>
      </c>
      <c r="AZ69" s="22">
        <f t="shared" si="137"/>
        <v>49</v>
      </c>
      <c r="BA69" s="22">
        <f t="shared" si="137"/>
        <v>50</v>
      </c>
      <c r="BB69" s="22">
        <f t="shared" si="137"/>
        <v>51</v>
      </c>
      <c r="BC69" s="22">
        <f t="shared" si="137"/>
        <v>52</v>
      </c>
      <c r="BD69" s="22">
        <f t="shared" ref="BD69" si="138">+BC69+1</f>
        <v>53</v>
      </c>
      <c r="BE69" s="22">
        <f t="shared" ref="BE69" si="139">+BD69+1</f>
        <v>54</v>
      </c>
      <c r="BF69" s="22">
        <f t="shared" ref="BF69" si="140">+BE69+1</f>
        <v>55</v>
      </c>
      <c r="BG69" s="22">
        <f t="shared" ref="BG69" si="141">+BF69+1</f>
        <v>56</v>
      </c>
      <c r="BH69" s="22">
        <f t="shared" ref="BH69" si="142">+BG69+1</f>
        <v>57</v>
      </c>
      <c r="BI69" s="22">
        <f t="shared" ref="BI69" si="143">+BH69+1</f>
        <v>58</v>
      </c>
      <c r="BJ69" s="22">
        <f t="shared" ref="BJ69" si="144">+BI69+1</f>
        <v>59</v>
      </c>
      <c r="BK69" s="22">
        <f t="shared" ref="BK69" si="145">+BJ69+1</f>
        <v>60</v>
      </c>
      <c r="BL69" s="22">
        <f t="shared" ref="BL69" si="146">+BK69+1</f>
        <v>61</v>
      </c>
      <c r="BM69" s="22">
        <f t="shared" ref="BM69" si="147">+BL69+1</f>
        <v>62</v>
      </c>
      <c r="BN69" s="22">
        <f t="shared" ref="BN69" si="148">+BM69+1</f>
        <v>63</v>
      </c>
      <c r="BO69" s="22">
        <f t="shared" ref="BO69:BQ69" si="149">+BN69+1</f>
        <v>64</v>
      </c>
      <c r="BP69" s="22">
        <f t="shared" si="149"/>
        <v>65</v>
      </c>
      <c r="BQ69" s="22">
        <f t="shared" si="149"/>
        <v>66</v>
      </c>
      <c r="BR69" s="22">
        <f>+BQ69+1</f>
        <v>67</v>
      </c>
      <c r="BS69" s="22">
        <f>+BR69+1</f>
        <v>68</v>
      </c>
      <c r="BT69" s="22">
        <f>+BS69+1</f>
        <v>69</v>
      </c>
      <c r="BU69" s="22">
        <f>+BT69+1</f>
        <v>70</v>
      </c>
      <c r="BV69" s="22">
        <f t="shared" ref="BV69:CK69" si="150">+BU69+1</f>
        <v>71</v>
      </c>
      <c r="BW69" s="22">
        <f t="shared" si="150"/>
        <v>72</v>
      </c>
      <c r="BX69" s="22">
        <f t="shared" si="150"/>
        <v>73</v>
      </c>
      <c r="BY69" s="22">
        <f t="shared" si="150"/>
        <v>74</v>
      </c>
      <c r="BZ69" s="22">
        <f t="shared" si="150"/>
        <v>75</v>
      </c>
      <c r="CA69" s="22">
        <f t="shared" si="150"/>
        <v>76</v>
      </c>
      <c r="CB69" s="22">
        <f t="shared" si="150"/>
        <v>77</v>
      </c>
      <c r="CC69" s="22">
        <f t="shared" si="150"/>
        <v>78</v>
      </c>
      <c r="CD69" s="22">
        <f t="shared" si="150"/>
        <v>79</v>
      </c>
      <c r="CE69" s="22">
        <f t="shared" si="150"/>
        <v>80</v>
      </c>
      <c r="CF69" s="22">
        <f t="shared" si="150"/>
        <v>81</v>
      </c>
      <c r="CG69" s="22">
        <f t="shared" si="150"/>
        <v>82</v>
      </c>
      <c r="CH69" s="22">
        <f t="shared" si="150"/>
        <v>83</v>
      </c>
      <c r="CI69" s="22">
        <f t="shared" si="150"/>
        <v>84</v>
      </c>
      <c r="CJ69" s="22">
        <f t="shared" si="150"/>
        <v>85</v>
      </c>
      <c r="CK69" s="22">
        <f t="shared" si="150"/>
        <v>86</v>
      </c>
      <c r="CL69" s="22">
        <f t="shared" ref="CL69:CM69" si="151">+CK69+1</f>
        <v>87</v>
      </c>
      <c r="CM69" s="22">
        <f t="shared" si="151"/>
        <v>88</v>
      </c>
      <c r="CN69" s="22">
        <f t="shared" ref="CN69" si="152">+CM69+1</f>
        <v>89</v>
      </c>
      <c r="CO69" s="22"/>
      <c r="CP69" s="23"/>
      <c r="CQ69" s="22"/>
    </row>
    <row r="70" spans="2:102" s="24" customFormat="1" ht="12.75" hidden="1" customHeight="1" outlineLevel="1" x14ac:dyDescent="0.2">
      <c r="B70" s="21"/>
      <c r="C70" s="21" t="s">
        <v>13</v>
      </c>
      <c r="D70" s="22">
        <f>+YEAR(D71)</f>
        <v>2022</v>
      </c>
      <c r="E70" s="22">
        <f t="shared" ref="E70:CN70" si="153">+YEAR(E71)</f>
        <v>2023</v>
      </c>
      <c r="F70" s="22">
        <f t="shared" si="153"/>
        <v>2023</v>
      </c>
      <c r="G70" s="22">
        <f t="shared" si="153"/>
        <v>2023</v>
      </c>
      <c r="H70" s="22">
        <f t="shared" si="153"/>
        <v>2023</v>
      </c>
      <c r="I70" s="22">
        <f t="shared" si="153"/>
        <v>2023</v>
      </c>
      <c r="J70" s="22">
        <f t="shared" si="153"/>
        <v>2023</v>
      </c>
      <c r="K70" s="22">
        <f t="shared" si="153"/>
        <v>2023</v>
      </c>
      <c r="L70" s="22">
        <f t="shared" si="153"/>
        <v>2023</v>
      </c>
      <c r="M70" s="22">
        <f t="shared" si="153"/>
        <v>2023</v>
      </c>
      <c r="N70" s="22">
        <f t="shared" si="153"/>
        <v>2023</v>
      </c>
      <c r="O70" s="22">
        <f t="shared" si="153"/>
        <v>2023</v>
      </c>
      <c r="P70" s="22">
        <f t="shared" si="153"/>
        <v>2023</v>
      </c>
      <c r="Q70" s="22">
        <f t="shared" si="153"/>
        <v>2023</v>
      </c>
      <c r="R70" s="22">
        <f t="shared" si="153"/>
        <v>2023</v>
      </c>
      <c r="S70" s="22">
        <f t="shared" si="153"/>
        <v>2023</v>
      </c>
      <c r="T70" s="22">
        <f t="shared" si="153"/>
        <v>2023</v>
      </c>
      <c r="U70" s="22">
        <f t="shared" si="153"/>
        <v>2023</v>
      </c>
      <c r="V70" s="22">
        <f t="shared" si="153"/>
        <v>2024</v>
      </c>
      <c r="W70" s="22">
        <f t="shared" si="153"/>
        <v>2024</v>
      </c>
      <c r="X70" s="22">
        <f t="shared" si="153"/>
        <v>2024</v>
      </c>
      <c r="Y70" s="22">
        <f t="shared" si="153"/>
        <v>2024</v>
      </c>
      <c r="Z70" s="22">
        <f t="shared" si="153"/>
        <v>2024</v>
      </c>
      <c r="AA70" s="22">
        <f t="shared" si="153"/>
        <v>2024</v>
      </c>
      <c r="AB70" s="22">
        <f t="shared" si="153"/>
        <v>2024</v>
      </c>
      <c r="AC70" s="22">
        <f t="shared" si="153"/>
        <v>2024</v>
      </c>
      <c r="AD70" s="22">
        <f t="shared" si="153"/>
        <v>2024</v>
      </c>
      <c r="AE70" s="22">
        <f t="shared" si="153"/>
        <v>2024</v>
      </c>
      <c r="AF70" s="22">
        <f t="shared" si="153"/>
        <v>2024</v>
      </c>
      <c r="AG70" s="22">
        <f t="shared" si="153"/>
        <v>2024</v>
      </c>
      <c r="AH70" s="22">
        <f t="shared" si="153"/>
        <v>2024</v>
      </c>
      <c r="AI70" s="22">
        <f t="shared" si="153"/>
        <v>2024</v>
      </c>
      <c r="AJ70" s="22">
        <f t="shared" si="153"/>
        <v>2024</v>
      </c>
      <c r="AK70" s="22">
        <f t="shared" si="153"/>
        <v>2024</v>
      </c>
      <c r="AL70" s="22">
        <f t="shared" si="153"/>
        <v>2024</v>
      </c>
      <c r="AM70" s="22">
        <f t="shared" si="153"/>
        <v>2024</v>
      </c>
      <c r="AN70" s="22">
        <f t="shared" si="153"/>
        <v>2024</v>
      </c>
      <c r="AO70" s="22">
        <f t="shared" si="153"/>
        <v>2024</v>
      </c>
      <c r="AP70" s="22">
        <f t="shared" si="153"/>
        <v>2024</v>
      </c>
      <c r="AQ70" s="22">
        <f t="shared" si="153"/>
        <v>2024</v>
      </c>
      <c r="AR70" s="22">
        <f t="shared" si="153"/>
        <v>2024</v>
      </c>
      <c r="AS70" s="22">
        <f t="shared" si="153"/>
        <v>2024</v>
      </c>
      <c r="AT70" s="22">
        <f t="shared" si="153"/>
        <v>2024</v>
      </c>
      <c r="AU70" s="22">
        <f t="shared" si="153"/>
        <v>2024</v>
      </c>
      <c r="AV70" s="22">
        <f t="shared" si="153"/>
        <v>2024</v>
      </c>
      <c r="AW70" s="22">
        <f t="shared" si="153"/>
        <v>2024</v>
      </c>
      <c r="AX70" s="22">
        <f t="shared" si="153"/>
        <v>2024</v>
      </c>
      <c r="AY70" s="22">
        <f t="shared" si="153"/>
        <v>2024</v>
      </c>
      <c r="AZ70" s="22">
        <f t="shared" si="153"/>
        <v>2025</v>
      </c>
      <c r="BA70" s="22">
        <f t="shared" si="153"/>
        <v>2025</v>
      </c>
      <c r="BB70" s="22">
        <f t="shared" si="153"/>
        <v>2025</v>
      </c>
      <c r="BC70" s="22">
        <f t="shared" si="153"/>
        <v>2025</v>
      </c>
      <c r="BD70" s="22">
        <f t="shared" si="153"/>
        <v>2025</v>
      </c>
      <c r="BE70" s="22">
        <f t="shared" si="153"/>
        <v>2025</v>
      </c>
      <c r="BF70" s="22">
        <f t="shared" si="153"/>
        <v>2025</v>
      </c>
      <c r="BG70" s="22">
        <f t="shared" si="153"/>
        <v>2025</v>
      </c>
      <c r="BH70" s="22">
        <f t="shared" si="153"/>
        <v>2025</v>
      </c>
      <c r="BI70" s="22">
        <f t="shared" si="153"/>
        <v>2025</v>
      </c>
      <c r="BJ70" s="22">
        <f t="shared" si="153"/>
        <v>2025</v>
      </c>
      <c r="BK70" s="22">
        <f t="shared" si="153"/>
        <v>2025</v>
      </c>
      <c r="BL70" s="22">
        <f t="shared" si="153"/>
        <v>2025</v>
      </c>
      <c r="BM70" s="22">
        <f t="shared" si="153"/>
        <v>2025</v>
      </c>
      <c r="BN70" s="22">
        <f t="shared" si="153"/>
        <v>2025</v>
      </c>
      <c r="BO70" s="22">
        <f t="shared" si="153"/>
        <v>2025</v>
      </c>
      <c r="BP70" s="22">
        <f t="shared" si="153"/>
        <v>2025</v>
      </c>
      <c r="BQ70" s="22">
        <f t="shared" si="153"/>
        <v>2025</v>
      </c>
      <c r="BR70" s="22">
        <f t="shared" si="153"/>
        <v>2025</v>
      </c>
      <c r="BS70" s="22">
        <f t="shared" si="153"/>
        <v>2025</v>
      </c>
      <c r="BT70" s="22">
        <f t="shared" si="153"/>
        <v>2025</v>
      </c>
      <c r="BU70" s="22">
        <f t="shared" si="153"/>
        <v>2025</v>
      </c>
      <c r="BV70" s="22">
        <f>+YEAR(BV71)</f>
        <v>2025</v>
      </c>
      <c r="BW70" s="22">
        <f>+YEAR(BW71)</f>
        <v>2025</v>
      </c>
      <c r="BX70" s="22">
        <f t="shared" si="153"/>
        <v>2025</v>
      </c>
      <c r="BY70" s="22">
        <f t="shared" si="153"/>
        <v>2025</v>
      </c>
      <c r="BZ70" s="22">
        <f t="shared" si="153"/>
        <v>2025</v>
      </c>
      <c r="CA70" s="22">
        <f t="shared" si="153"/>
        <v>2025</v>
      </c>
      <c r="CB70" s="22">
        <f t="shared" si="153"/>
        <v>2025</v>
      </c>
      <c r="CC70" s="22">
        <f t="shared" si="153"/>
        <v>2025</v>
      </c>
      <c r="CD70" s="22">
        <f t="shared" si="153"/>
        <v>2025</v>
      </c>
      <c r="CE70" s="22">
        <f t="shared" si="153"/>
        <v>2025</v>
      </c>
      <c r="CF70" s="22">
        <f t="shared" si="153"/>
        <v>2025</v>
      </c>
      <c r="CG70" s="22">
        <f t="shared" si="153"/>
        <v>2026</v>
      </c>
      <c r="CH70" s="22">
        <f t="shared" si="153"/>
        <v>2026</v>
      </c>
      <c r="CI70" s="22">
        <f t="shared" si="153"/>
        <v>2026</v>
      </c>
      <c r="CJ70" s="22">
        <f t="shared" si="153"/>
        <v>2026</v>
      </c>
      <c r="CK70" s="22">
        <f t="shared" si="153"/>
        <v>2026</v>
      </c>
      <c r="CL70" s="22">
        <f t="shared" si="153"/>
        <v>2026</v>
      </c>
      <c r="CM70" s="22">
        <f t="shared" si="153"/>
        <v>2026</v>
      </c>
      <c r="CN70" s="22">
        <f t="shared" si="153"/>
        <v>2026</v>
      </c>
      <c r="CO70" s="22"/>
      <c r="CP70" s="23"/>
      <c r="CQ70" s="22"/>
    </row>
    <row r="71" spans="2:102" s="73" customFormat="1" ht="25.5" hidden="1" customHeight="1" outlineLevel="1" x14ac:dyDescent="0.2">
      <c r="B71" s="68"/>
      <c r="C71" s="68" t="s">
        <v>14</v>
      </c>
      <c r="D71" s="74">
        <v>44925</v>
      </c>
      <c r="E71" s="74">
        <v>44946</v>
      </c>
      <c r="F71" s="74">
        <v>44974</v>
      </c>
      <c r="G71" s="74">
        <v>45016</v>
      </c>
      <c r="H71" s="74">
        <v>45087</v>
      </c>
      <c r="I71" s="74">
        <v>45107</v>
      </c>
      <c r="J71" s="74">
        <v>45114</v>
      </c>
      <c r="K71" s="74">
        <v>45129</v>
      </c>
      <c r="L71" s="74">
        <v>45136</v>
      </c>
      <c r="M71" s="74">
        <v>45143</v>
      </c>
      <c r="N71" s="74">
        <v>45156</v>
      </c>
      <c r="O71" s="74">
        <v>45171</v>
      </c>
      <c r="P71" s="74">
        <v>45191</v>
      </c>
      <c r="Q71" s="74">
        <v>45212</v>
      </c>
      <c r="R71" s="74">
        <v>45220</v>
      </c>
      <c r="S71" s="74">
        <v>45233</v>
      </c>
      <c r="T71" s="74">
        <v>45276</v>
      </c>
      <c r="U71" s="74">
        <v>45289</v>
      </c>
      <c r="V71" s="74">
        <v>45303</v>
      </c>
      <c r="W71" s="74">
        <v>45325</v>
      </c>
      <c r="X71" s="74">
        <v>45338</v>
      </c>
      <c r="Y71" s="74">
        <v>45353</v>
      </c>
      <c r="Z71" s="74">
        <v>45359</v>
      </c>
      <c r="AA71" s="74">
        <v>45374</v>
      </c>
      <c r="AB71" s="74">
        <v>45394</v>
      </c>
      <c r="AC71" s="74">
        <v>45394</v>
      </c>
      <c r="AD71" s="74">
        <v>45409</v>
      </c>
      <c r="AE71" s="74">
        <v>45429</v>
      </c>
      <c r="AF71" s="74">
        <v>45451</v>
      </c>
      <c r="AG71" s="74">
        <v>45451</v>
      </c>
      <c r="AH71" s="74">
        <v>45458</v>
      </c>
      <c r="AI71" s="74">
        <v>45472</v>
      </c>
      <c r="AJ71" s="74">
        <v>45479</v>
      </c>
      <c r="AK71" s="74">
        <v>45479</v>
      </c>
      <c r="AL71" s="74">
        <v>45484</v>
      </c>
      <c r="AM71" s="74">
        <v>45498</v>
      </c>
      <c r="AN71" s="74">
        <v>45500</v>
      </c>
      <c r="AO71" s="74">
        <v>45500</v>
      </c>
      <c r="AP71" s="74">
        <v>45521</v>
      </c>
      <c r="AQ71" s="74">
        <v>45534</v>
      </c>
      <c r="AR71" s="74">
        <v>45549</v>
      </c>
      <c r="AS71" s="74">
        <v>45569</v>
      </c>
      <c r="AT71" s="74">
        <v>45583</v>
      </c>
      <c r="AU71" s="74">
        <v>45590</v>
      </c>
      <c r="AV71" s="74">
        <v>45611</v>
      </c>
      <c r="AW71" s="74">
        <v>45626</v>
      </c>
      <c r="AX71" s="74">
        <v>45633</v>
      </c>
      <c r="AY71" s="74">
        <v>45633</v>
      </c>
      <c r="AZ71" s="74">
        <v>45667</v>
      </c>
      <c r="BA71" s="74">
        <v>45674</v>
      </c>
      <c r="BB71" s="74">
        <v>45675</v>
      </c>
      <c r="BC71" s="74">
        <v>45688</v>
      </c>
      <c r="BD71" s="74">
        <v>45696</v>
      </c>
      <c r="BE71" s="74">
        <v>45709</v>
      </c>
      <c r="BF71" s="74">
        <v>45710</v>
      </c>
      <c r="BG71" s="74">
        <v>45716</v>
      </c>
      <c r="BH71" s="74">
        <v>45730</v>
      </c>
      <c r="BI71" s="74">
        <v>45738</v>
      </c>
      <c r="BJ71" s="74">
        <v>45745</v>
      </c>
      <c r="BK71" s="74">
        <v>45751</v>
      </c>
      <c r="BL71" s="74">
        <v>45772</v>
      </c>
      <c r="BM71" s="74">
        <v>45787</v>
      </c>
      <c r="BN71" s="74">
        <v>45807</v>
      </c>
      <c r="BO71" s="74">
        <v>45814</v>
      </c>
      <c r="BP71" s="74">
        <v>45835</v>
      </c>
      <c r="BQ71" s="74">
        <v>45843</v>
      </c>
      <c r="BR71" s="74">
        <v>45854</v>
      </c>
      <c r="BS71" s="74">
        <v>45856</v>
      </c>
      <c r="BT71" s="74">
        <v>45863</v>
      </c>
      <c r="BU71" s="74">
        <v>45863</v>
      </c>
      <c r="BV71" s="74">
        <v>45885</v>
      </c>
      <c r="BW71" s="74">
        <v>45898</v>
      </c>
      <c r="BX71" s="74">
        <v>45899</v>
      </c>
      <c r="BY71" s="74">
        <v>45933</v>
      </c>
      <c r="BZ71" s="74">
        <v>45940</v>
      </c>
      <c r="CA71" s="74">
        <v>45947</v>
      </c>
      <c r="CB71" s="74">
        <v>45954</v>
      </c>
      <c r="CC71" s="74">
        <v>45975</v>
      </c>
      <c r="CD71" s="74">
        <v>45982</v>
      </c>
      <c r="CE71" s="74">
        <v>45996</v>
      </c>
      <c r="CF71" s="74">
        <v>46010</v>
      </c>
      <c r="CG71" s="74">
        <v>46031</v>
      </c>
      <c r="CH71" s="74">
        <v>46038</v>
      </c>
      <c r="CI71" s="74">
        <v>46053</v>
      </c>
      <c r="CJ71" s="74">
        <v>46073</v>
      </c>
      <c r="CK71" s="74">
        <v>46101</v>
      </c>
      <c r="CL71" s="74">
        <v>46129</v>
      </c>
      <c r="CM71" s="74">
        <v>46151</v>
      </c>
      <c r="CN71" s="74">
        <v>46157</v>
      </c>
      <c r="CO71" s="70"/>
      <c r="CP71" s="71" t="s">
        <v>17</v>
      </c>
      <c r="CQ71" s="70"/>
      <c r="CR71" s="72" t="s">
        <v>18</v>
      </c>
      <c r="CS71" s="72" t="s">
        <v>19</v>
      </c>
      <c r="CT71" s="72" t="s">
        <v>53</v>
      </c>
      <c r="CU71" s="72" t="s">
        <v>54</v>
      </c>
      <c r="CV71" s="72" t="s">
        <v>55</v>
      </c>
      <c r="CW71" s="72" t="s">
        <v>56</v>
      </c>
      <c r="CX71" s="72" t="s">
        <v>20</v>
      </c>
    </row>
    <row r="72" spans="2:102" ht="12.75" hidden="1" customHeight="1" outlineLevel="1" x14ac:dyDescent="0.2">
      <c r="B72" s="26"/>
      <c r="C72" s="26" t="str">
        <f>+C113</f>
        <v>Amos Aaltio</v>
      </c>
      <c r="D72" s="27">
        <f>+IF(NOT(ISBLANK(D152)),D152+D113,"")</f>
        <v>-10</v>
      </c>
      <c r="E72" s="27">
        <f>+IF(NOT(ISBLANK(E152)),E152+E113,"")</f>
        <v>-10</v>
      </c>
      <c r="F72" s="27">
        <f>+IF(NOT(ISBLANK(F152)),F152+F113,"")</f>
        <v>70</v>
      </c>
      <c r="G72" s="27" t="str">
        <f>+IF(NOT(ISBLANK(G152)),G152+G113,"")</f>
        <v/>
      </c>
      <c r="H72" s="27">
        <f>+IF(NOT(ISBLANK(H152)),H152+H113,"")</f>
        <v>45</v>
      </c>
      <c r="I72" s="27">
        <f>+IF(NOT(ISBLANK(I152)),I152+I113,"")</f>
        <v>-15</v>
      </c>
      <c r="J72" s="27">
        <f>+IF(NOT(ISBLANK(J152)),J152+J113,"")</f>
        <v>-15</v>
      </c>
      <c r="K72" s="27">
        <f>+IF(NOT(ISBLANK(K152)),K152+K113,"")</f>
        <v>-25</v>
      </c>
      <c r="L72" s="27">
        <f>+IF(NOT(ISBLANK(L152)),L152+L113,"")</f>
        <v>60</v>
      </c>
      <c r="M72" s="27">
        <f>+IF(NOT(ISBLANK(M152)),M152+M113,"")</f>
        <v>-15</v>
      </c>
      <c r="N72" s="27" t="str">
        <f>+IF(NOT(ISBLANK(N152)),N152+N113,"")</f>
        <v/>
      </c>
      <c r="O72" s="27">
        <f>+IF(NOT(ISBLANK(O152)),O152+O113,"")</f>
        <v>60</v>
      </c>
      <c r="P72" s="27">
        <f>+IF(NOT(ISBLANK(P152)),P152+P113,"")</f>
        <v>-15</v>
      </c>
      <c r="Q72" s="27">
        <f>+IF(NOT(ISBLANK(Q152)),Q152+Q113,"")</f>
        <v>-15</v>
      </c>
      <c r="R72" s="27">
        <f>+IF(NOT(ISBLANK(R152)),R152+R113,"")</f>
        <v>-15</v>
      </c>
      <c r="S72" s="27">
        <f>+IF(NOT(ISBLANK(S152)),S152+S113,"")</f>
        <v>-15</v>
      </c>
      <c r="T72" s="27">
        <f>+IF(NOT(ISBLANK(T152)),T152+T113,"")</f>
        <v>120</v>
      </c>
      <c r="U72" s="27">
        <f>+IF(NOT(ISBLANK(U152)),U152+U113,"")</f>
        <v>-15</v>
      </c>
      <c r="V72" s="27">
        <f>+IF(NOT(ISBLANK(V152)),V152+V113,"")</f>
        <v>-30</v>
      </c>
      <c r="W72" s="27">
        <f>+IF(NOT(ISBLANK(W152)),W152+W113,"")</f>
        <v>-15</v>
      </c>
      <c r="X72" s="27">
        <f>+IF(NOT(ISBLANK(X152)),X152+X113,"")</f>
        <v>-15</v>
      </c>
      <c r="Y72" s="27">
        <f>+IF(NOT(ISBLANK(Y152)),Y152+Y113,"")</f>
        <v>-15</v>
      </c>
      <c r="Z72" s="27">
        <f>+IF(NOT(ISBLANK(Z152)),Z152+Z113,"")</f>
        <v>-30</v>
      </c>
      <c r="AA72" s="27" t="str">
        <f>+IF(NOT(ISBLANK(AA152)),AA152+AA113,"")</f>
        <v/>
      </c>
      <c r="AB72" s="27">
        <f>+IF(NOT(ISBLANK(AB152)),AB152+AB113,"")</f>
        <v>-15</v>
      </c>
      <c r="AC72" s="27">
        <f>+IF(NOT(ISBLANK(AC152)),AC152+AC113,"")</f>
        <v>60</v>
      </c>
      <c r="AD72" s="27">
        <f>+IF(NOT(ISBLANK(AD152)),AD152+AD113,"")</f>
        <v>-30</v>
      </c>
      <c r="AE72" s="27">
        <f>+IF(NOT(ISBLANK(AE152)),AE152+AE113,"")</f>
        <v>-20</v>
      </c>
      <c r="AF72" s="27">
        <f>+IF(NOT(ISBLANK(AF152)),AF152+AF113,"")</f>
        <v>90</v>
      </c>
      <c r="AG72" s="27">
        <f>+IF(NOT(ISBLANK(AG152)),AG152+AG113,"")</f>
        <v>-15</v>
      </c>
      <c r="AH72" s="27">
        <f>+IF(NOT(ISBLANK(AH152)),AH152+AH113,"")</f>
        <v>-15</v>
      </c>
      <c r="AI72" s="27">
        <f>+IF(NOT(ISBLANK(AI152)),AI152+AI113,"")</f>
        <v>0</v>
      </c>
      <c r="AJ72" s="27">
        <f>+IF(NOT(ISBLANK(AJ152)),AJ152+AJ113,"")</f>
        <v>-15</v>
      </c>
      <c r="AK72" s="27">
        <f>+IF(NOT(ISBLANK(AK152)),AK152+AK113,"")</f>
        <v>60</v>
      </c>
      <c r="AL72" s="27">
        <f>+IF(NOT(ISBLANK(AL152)),AL152+AL113,"")</f>
        <v>-15</v>
      </c>
      <c r="AM72" s="27">
        <f>+IF(NOT(ISBLANK(AM152)),AM152+AM113,"")</f>
        <v>60</v>
      </c>
      <c r="AN72" s="27">
        <f>+IF(NOT(ISBLANK(AN152)),AN152+AN113,"")</f>
        <v>-30</v>
      </c>
      <c r="AO72" s="27">
        <f>+IF(NOT(ISBLANK(AO152)),AO152+AO113,"")</f>
        <v>-10</v>
      </c>
      <c r="AP72" s="27">
        <f>+IF(NOT(ISBLANK(AP152)),AP152+AP113,"")</f>
        <v>60</v>
      </c>
      <c r="AQ72" s="27">
        <f>+IF(NOT(ISBLANK(AQ152)),AQ152+AQ113,"")</f>
        <v>-15</v>
      </c>
      <c r="AR72" s="27">
        <f>+IF(NOT(ISBLANK(AR152)),AR152+AR113,"")</f>
        <v>-15</v>
      </c>
      <c r="AS72" s="27">
        <f>+IF(NOT(ISBLANK(AS152)),AS152+AS113,"")</f>
        <v>73.625</v>
      </c>
      <c r="AT72" s="27">
        <f>+IF(NOT(ISBLANK(AT152)),AT152+AT113,"")</f>
        <v>-15</v>
      </c>
      <c r="AU72" s="27">
        <f>+IF(NOT(ISBLANK(AU152)),AU152+AU113,"")</f>
        <v>-15</v>
      </c>
      <c r="AV72" s="27">
        <f>+IF(NOT(ISBLANK(AV152)),AV152+AV113,"")</f>
        <v>165</v>
      </c>
      <c r="AW72" s="27">
        <f>+IF(NOT(ISBLANK(AW152)),AW152+AW113,"")</f>
        <v>-30</v>
      </c>
      <c r="AX72" s="27">
        <f>+IF(NOT(ISBLANK(AX152)),AX152+AX113,"")</f>
        <v>60</v>
      </c>
      <c r="AY72" s="27">
        <f>+IF(NOT(ISBLANK(AY152)),AY152+AY113,"")</f>
        <v>-15</v>
      </c>
      <c r="AZ72" s="27">
        <f>+IF(NOT(ISBLANK(AZ152)),AZ152+AZ113,"")</f>
        <v>-20</v>
      </c>
      <c r="BA72" s="27">
        <f>+IF(NOT(ISBLANK(BA152)),BA152+BA113,"")</f>
        <v>-20</v>
      </c>
      <c r="BB72" s="27">
        <f>+IF(NOT(ISBLANK(BB152)),BB152+BB113,"")</f>
        <v>-40</v>
      </c>
      <c r="BC72" s="27">
        <f>+IF(NOT(ISBLANK(BC152)),BC152+BC113,"")</f>
        <v>100</v>
      </c>
      <c r="BD72" s="27">
        <f>+IF(NOT(ISBLANK(BD152)),BD152+BD113,"")</f>
        <v>-60</v>
      </c>
      <c r="BE72" s="27">
        <f>+IF(NOT(ISBLANK(BE152)),BE152+BE113,"")</f>
        <v>-10</v>
      </c>
      <c r="BF72" s="27">
        <f>+IF(NOT(ISBLANK(BF152)),BF152+BF113,"")</f>
        <v>-10</v>
      </c>
      <c r="BG72" s="27">
        <f>+IF(NOT(ISBLANK(BG152)),BG152+BG113,"")</f>
        <v>-15</v>
      </c>
      <c r="BH72" s="27">
        <f>+IF(NOT(ISBLANK(BH152)),BH152+BH113,"")</f>
        <v>-40</v>
      </c>
      <c r="BI72" s="27">
        <f>+IF(NOT(ISBLANK(BI152)),BI152+BI113,"")</f>
        <v>-20</v>
      </c>
      <c r="BJ72" s="27">
        <f>+IF(NOT(ISBLANK(BJ152)),BJ152+BJ113,"")</f>
        <v>-20</v>
      </c>
      <c r="BK72" s="27">
        <f>+IF(NOT(ISBLANK(BK152)),BK152+BK113,"")</f>
        <v>-20</v>
      </c>
      <c r="BL72" s="27">
        <f>+IF(NOT(ISBLANK(BL152)),BL152+BL113,"")</f>
        <v>25</v>
      </c>
      <c r="BM72" s="27">
        <f>+IF(NOT(ISBLANK(BM152)),BM152+BM113,"")</f>
        <v>-40</v>
      </c>
      <c r="BN72" s="27">
        <f>+IF(NOT(ISBLANK(BN152)),BN152+BN113,"")</f>
        <v>80</v>
      </c>
      <c r="BO72" s="27">
        <f>+IF(NOT(ISBLANK(BO152)),BO152+BO113,"")</f>
        <v>-20</v>
      </c>
      <c r="BP72" s="27">
        <f>+IF(NOT(ISBLANK(BP152)),BP152+BP113,"")</f>
        <v>-40</v>
      </c>
      <c r="BQ72" s="27">
        <f>+IF(NOT(ISBLANK(BQ152)),BQ152+BQ113,"")</f>
        <v>140</v>
      </c>
      <c r="BR72" s="27">
        <f>+IF(NOT(ISBLANK(BR152)),BR152+BR113,"")</f>
        <v>-20</v>
      </c>
      <c r="BS72" s="27">
        <f>+IF(NOT(ISBLANK(BS152)),BS152+BS113,"")</f>
        <v>-80</v>
      </c>
      <c r="BT72" s="27">
        <f>+IF(NOT(ISBLANK(BT152)),BT152+BT113,"")</f>
        <v>-40</v>
      </c>
      <c r="BU72" s="27">
        <f>+IF(NOT(ISBLANK(BU152)),BU152+BU113,"")</f>
        <v>-20</v>
      </c>
      <c r="BV72" s="27">
        <f>+IF(NOT(ISBLANK(BV152)),BV152+BV113,"")</f>
        <v>-20</v>
      </c>
      <c r="BW72" s="27">
        <f>+IF(NOT(ISBLANK(BW152)),BW152+BW113,"")</f>
        <v>-20</v>
      </c>
      <c r="BX72" s="27">
        <f>+IF(NOT(ISBLANK(BX152)),BX152+BX113,"")</f>
        <v>-30</v>
      </c>
      <c r="BY72" s="27">
        <f>+IF(NOT(ISBLANK(BY152)),BY152+BY113,"")</f>
        <v>30</v>
      </c>
      <c r="BZ72" s="27">
        <f>+IF(NOT(ISBLANK(BZ152)),BZ152+BZ113,"")</f>
        <v>-40</v>
      </c>
      <c r="CA72" s="27">
        <f>+IF(NOT(ISBLANK(CA152)),CA152+CA113,"")</f>
        <v>7</v>
      </c>
      <c r="CB72" s="27">
        <f>+IF(NOT(ISBLANK(CB152)),CB152+CB113,"")</f>
        <v>-20</v>
      </c>
      <c r="CC72" s="27">
        <f>+IF(NOT(ISBLANK(CC152)),CC152+CC113,"")</f>
        <v>-20</v>
      </c>
      <c r="CD72" s="27">
        <f>+IF(NOT(ISBLANK(CD152)),CD152+CD113,"")</f>
        <v>156</v>
      </c>
      <c r="CE72" s="27" t="str">
        <f>+IF(NOT(ISBLANK(CE152)),CE152+CE113,"")</f>
        <v/>
      </c>
      <c r="CF72" s="27">
        <f>+IF(NOT(ISBLANK(CF152)),CF152+CF113,"")</f>
        <v>-50</v>
      </c>
      <c r="CG72" s="27">
        <f>+IF(NOT(ISBLANK(CG152)),CG152+CG113,"")</f>
        <v>-90</v>
      </c>
      <c r="CH72" s="27">
        <f>+IF(NOT(ISBLANK(CH152)),CH152+CH113,"")</f>
        <v>-60</v>
      </c>
      <c r="CI72" s="27">
        <f>+IF(NOT(ISBLANK(CI152)),CI152+CI113,"")</f>
        <v>-60</v>
      </c>
      <c r="CJ72" s="27">
        <f>+IF(NOT(ISBLANK(CJ152)),CJ152+CJ113,"")</f>
        <v>-20</v>
      </c>
      <c r="CK72" s="27">
        <f>+IF(NOT(ISBLANK(CK152)),CK152+CK113,"")</f>
        <v>18.75</v>
      </c>
      <c r="CL72" s="27">
        <f>+IF(NOT(ISBLANK(CL152)),CL152+CL113,"")</f>
        <v>-30</v>
      </c>
      <c r="CM72" s="27">
        <f>+IF(NOT(ISBLANK(CM152)),CM152+CM113,"")</f>
        <v>-30</v>
      </c>
      <c r="CN72" s="27">
        <f>+IF(NOT(ISBLANK(CN152)),CN152+CN113,"")</f>
        <v>-90</v>
      </c>
      <c r="CO72" s="28"/>
      <c r="CP72" s="29">
        <f>+IF(NOT(ISBLANK(CP152)),CP152+CP113,"")</f>
        <v>-114.625</v>
      </c>
      <c r="CQ72" s="27"/>
      <c r="CR72" s="30">
        <f>+CP113/-CP152-1</f>
        <v>-5.2822580645161321E-2</v>
      </c>
      <c r="CS72" s="31">
        <f>+COUNT(D72:CO72)</f>
        <v>85</v>
      </c>
      <c r="CT72" s="31">
        <f>+COUNTIF(D113:CO113,"&gt;0")</f>
        <v>22</v>
      </c>
      <c r="CU72" s="30">
        <f>+CT72/CS72</f>
        <v>0.25882352941176473</v>
      </c>
      <c r="CV72" s="30">
        <f>+SUMIF($D113:$CO113,"&gt;0",$D113:$CO113)/-SUMIF($D152:$CO152,"&lt;0",$D$186:$CO$186)</f>
        <v>0.16489473933333706</v>
      </c>
      <c r="CW72" s="30">
        <f>+SUMIF($D152:$CO152,"&lt;0",$D152:$CO152)/SUMIF($D152:$CO152,"&lt;0",$D$186:$CO$186)</f>
        <v>0.17409065710799315</v>
      </c>
      <c r="CX72" s="32">
        <f>+CP72/CS72</f>
        <v>-1.348529411764706</v>
      </c>
    </row>
    <row r="73" spans="2:102" ht="12.75" hidden="1" customHeight="1" outlineLevel="1" x14ac:dyDescent="0.2">
      <c r="B73" s="33"/>
      <c r="C73" s="33" t="str">
        <f>+C114</f>
        <v>Atte Rouhe</v>
      </c>
      <c r="D73" s="34" t="str">
        <f>+IF(NOT(ISBLANK(D153)),D153+D114,"")</f>
        <v/>
      </c>
      <c r="E73" s="34" t="str">
        <f>+IF(NOT(ISBLANK(E153)),E153+E114,"")</f>
        <v/>
      </c>
      <c r="F73" s="34" t="str">
        <f>+IF(NOT(ISBLANK(F153)),F153+F114,"")</f>
        <v/>
      </c>
      <c r="G73" s="34" t="str">
        <f>+IF(NOT(ISBLANK(G153)),G153+G114,"")</f>
        <v/>
      </c>
      <c r="H73" s="34" t="str">
        <f>+IF(NOT(ISBLANK(H153)),H153+H114,"")</f>
        <v/>
      </c>
      <c r="I73" s="34" t="str">
        <f>+IF(NOT(ISBLANK(I153)),I153+I114,"")</f>
        <v/>
      </c>
      <c r="J73" s="34" t="str">
        <f>+IF(NOT(ISBLANK(J153)),J153+J114,"")</f>
        <v/>
      </c>
      <c r="K73" s="34" t="str">
        <f>+IF(NOT(ISBLANK(K153)),K153+K114,"")</f>
        <v/>
      </c>
      <c r="L73" s="34" t="str">
        <f>+IF(NOT(ISBLANK(L153)),L153+L114,"")</f>
        <v/>
      </c>
      <c r="M73" s="34" t="str">
        <f>+IF(NOT(ISBLANK(M153)),M153+M114,"")</f>
        <v/>
      </c>
      <c r="N73" s="34">
        <f>+IF(NOT(ISBLANK(N153)),N153+N114,"")</f>
        <v>-15</v>
      </c>
      <c r="O73" s="34" t="str">
        <f>+IF(NOT(ISBLANK(O153)),O153+O114,"")</f>
        <v/>
      </c>
      <c r="P73" s="34" t="str">
        <f>+IF(NOT(ISBLANK(P153)),P153+P114,"")</f>
        <v/>
      </c>
      <c r="Q73" s="34" t="str">
        <f>+IF(NOT(ISBLANK(Q153)),Q153+Q114,"")</f>
        <v/>
      </c>
      <c r="R73" s="34" t="str">
        <f>+IF(NOT(ISBLANK(R153)),R153+R114,"")</f>
        <v/>
      </c>
      <c r="S73" s="34">
        <f>+IF(NOT(ISBLANK(S153)),S153+S114,"")</f>
        <v>84.77000000000001</v>
      </c>
      <c r="T73" s="34" t="str">
        <f>+IF(NOT(ISBLANK(T153)),T153+T114,"")</f>
        <v/>
      </c>
      <c r="U73" s="34" t="str">
        <f>+IF(NOT(ISBLANK(U153)),U153+U114,"")</f>
        <v/>
      </c>
      <c r="V73" s="34" t="str">
        <f>+IF(NOT(ISBLANK(V153)),V153+V114,"")</f>
        <v/>
      </c>
      <c r="W73" s="34" t="str">
        <f>+IF(NOT(ISBLANK(W153)),W153+W114,"")</f>
        <v/>
      </c>
      <c r="X73" s="34" t="str">
        <f>+IF(NOT(ISBLANK(X153)),X153+X114,"")</f>
        <v/>
      </c>
      <c r="Y73" s="34" t="str">
        <f>+IF(NOT(ISBLANK(Y153)),Y153+Y114,"")</f>
        <v/>
      </c>
      <c r="Z73" s="34" t="str">
        <f>+IF(NOT(ISBLANK(Z153)),Z153+Z114,"")</f>
        <v/>
      </c>
      <c r="AA73" s="34" t="str">
        <f>+IF(NOT(ISBLANK(AA153)),AA153+AA114,"")</f>
        <v/>
      </c>
      <c r="AB73" s="34" t="str">
        <f>+IF(NOT(ISBLANK(AB153)),AB153+AB114,"")</f>
        <v/>
      </c>
      <c r="AC73" s="34" t="str">
        <f>+IF(NOT(ISBLANK(AC153)),AC153+AC114,"")</f>
        <v/>
      </c>
      <c r="AD73" s="34" t="str">
        <f>+IF(NOT(ISBLANK(AD153)),AD153+AD114,"")</f>
        <v/>
      </c>
      <c r="AE73" s="34" t="str">
        <f>+IF(NOT(ISBLANK(AE153)),AE153+AE114,"")</f>
        <v/>
      </c>
      <c r="AF73" s="34" t="str">
        <f>+IF(NOT(ISBLANK(AF153)),AF153+AF114,"")</f>
        <v/>
      </c>
      <c r="AG73" s="34" t="str">
        <f>+IF(NOT(ISBLANK(AG153)),AG153+AG114,"")</f>
        <v/>
      </c>
      <c r="AH73" s="34" t="str">
        <f>+IF(NOT(ISBLANK(AH153)),AH153+AH114,"")</f>
        <v/>
      </c>
      <c r="AI73" s="34" t="str">
        <f>+IF(NOT(ISBLANK(AI153)),AI153+AI114,"")</f>
        <v/>
      </c>
      <c r="AJ73" s="34">
        <f>+IF(NOT(ISBLANK(AJ153)),AJ153+AJ114,"")</f>
        <v>-15</v>
      </c>
      <c r="AK73" s="34" t="str">
        <f>+IF(NOT(ISBLANK(AK153)),AK153+AK114,"")</f>
        <v/>
      </c>
      <c r="AL73" s="34" t="str">
        <f>+IF(NOT(ISBLANK(AL153)),AL153+AL114,"")</f>
        <v/>
      </c>
      <c r="AM73" s="34" t="str">
        <f>+IF(NOT(ISBLANK(AM153)),AM153+AM114,"")</f>
        <v/>
      </c>
      <c r="AN73" s="34" t="str">
        <f>+IF(NOT(ISBLANK(AN153)),AN153+AN114,"")</f>
        <v/>
      </c>
      <c r="AO73" s="34" t="str">
        <f>+IF(NOT(ISBLANK(AO153)),AO153+AO114,"")</f>
        <v/>
      </c>
      <c r="AP73" s="34" t="str">
        <f>+IF(NOT(ISBLANK(AP153)),AP153+AP114,"")</f>
        <v/>
      </c>
      <c r="AQ73" s="34" t="str">
        <f>+IF(NOT(ISBLANK(AQ153)),AQ153+AQ114,"")</f>
        <v/>
      </c>
      <c r="AR73" s="34" t="str">
        <f>+IF(NOT(ISBLANK(AR153)),AR153+AR114,"")</f>
        <v/>
      </c>
      <c r="AS73" s="34" t="str">
        <f>+IF(NOT(ISBLANK(AS153)),AS153+AS114,"")</f>
        <v/>
      </c>
      <c r="AT73" s="34" t="str">
        <f>+IF(NOT(ISBLANK(AT153)),AT153+AT114,"")</f>
        <v/>
      </c>
      <c r="AU73" s="34" t="str">
        <f>+IF(NOT(ISBLANK(AU153)),AU153+AU114,"")</f>
        <v/>
      </c>
      <c r="AV73" s="34">
        <f>+IF(NOT(ISBLANK(AV153)),AV153+AV114,"")</f>
        <v>-15</v>
      </c>
      <c r="AW73" s="34" t="str">
        <f>+IF(NOT(ISBLANK(AW153)),AW153+AW114,"")</f>
        <v/>
      </c>
      <c r="AX73" s="34" t="str">
        <f>+IF(NOT(ISBLANK(AX153)),AX153+AX114,"")</f>
        <v/>
      </c>
      <c r="AY73" s="34" t="str">
        <f>+IF(NOT(ISBLANK(AY153)),AY153+AY114,"")</f>
        <v/>
      </c>
      <c r="AZ73" s="34" t="str">
        <f>+IF(NOT(ISBLANK(AZ153)),AZ153+AZ114,"")</f>
        <v/>
      </c>
      <c r="BA73" s="34" t="str">
        <f>+IF(NOT(ISBLANK(BA153)),BA153+BA114,"")</f>
        <v/>
      </c>
      <c r="BB73" s="34" t="str">
        <f>+IF(NOT(ISBLANK(BB153)),BB153+BB114,"")</f>
        <v/>
      </c>
      <c r="BC73" s="34">
        <f>+IF(NOT(ISBLANK(BC153)),BC153+BC114,"")</f>
        <v>-20</v>
      </c>
      <c r="BD73" s="34">
        <f>+IF(NOT(ISBLANK(BD153)),BD153+BD114,"")</f>
        <v>-20</v>
      </c>
      <c r="BE73" s="34">
        <f>+IF(NOT(ISBLANK(BE153)),BE153+BE114,"")</f>
        <v>30</v>
      </c>
      <c r="BF73" s="34">
        <f>+IF(NOT(ISBLANK(BF153)),BF153+BF114,"")</f>
        <v>-10</v>
      </c>
      <c r="BG73" s="34">
        <f>+IF(NOT(ISBLANK(BG153)),BG153+BG114,"")</f>
        <v>-15</v>
      </c>
      <c r="BH73" s="34" t="str">
        <f>+IF(NOT(ISBLANK(BH153)),BH153+BH114,"")</f>
        <v/>
      </c>
      <c r="BI73" s="34" t="str">
        <f>+IF(NOT(ISBLANK(BI153)),BI153+BI114,"")</f>
        <v/>
      </c>
      <c r="BJ73" s="34" t="str">
        <f>+IF(NOT(ISBLANK(BJ153)),BJ153+BJ114,"")</f>
        <v/>
      </c>
      <c r="BK73" s="34" t="str">
        <f>+IF(NOT(ISBLANK(BK153)),BK153+BK114,"")</f>
        <v/>
      </c>
      <c r="BL73" s="34" t="str">
        <f>+IF(NOT(ISBLANK(BL153)),BL153+BL114,"")</f>
        <v/>
      </c>
      <c r="BM73" s="34" t="str">
        <f>+IF(NOT(ISBLANK(BM153)),BM153+BM114,"")</f>
        <v/>
      </c>
      <c r="BN73" s="34" t="str">
        <f>+IF(NOT(ISBLANK(BN153)),BN153+BN114,"")</f>
        <v/>
      </c>
      <c r="BO73" s="34" t="str">
        <f>+IF(NOT(ISBLANK(BO153)),BO153+BO114,"")</f>
        <v/>
      </c>
      <c r="BP73" s="34">
        <f>+IF(NOT(ISBLANK(BP153)),BP153+BP114,"")</f>
        <v>-20</v>
      </c>
      <c r="BQ73" s="34" t="str">
        <f>+IF(NOT(ISBLANK(BQ153)),BQ153+BQ114,"")</f>
        <v/>
      </c>
      <c r="BR73" s="34" t="str">
        <f>+IF(NOT(ISBLANK(BR153)),BR153+BR114,"")</f>
        <v/>
      </c>
      <c r="BS73" s="34" t="str">
        <f>+IF(NOT(ISBLANK(BS153)),BS153+BS114,"")</f>
        <v/>
      </c>
      <c r="BT73" s="34" t="str">
        <f>+IF(NOT(ISBLANK(BT153)),BT153+BT114,"")</f>
        <v/>
      </c>
      <c r="BU73" s="34" t="str">
        <f>+IF(NOT(ISBLANK(BU153)),BU153+BU114,"")</f>
        <v/>
      </c>
      <c r="BV73" s="34" t="str">
        <f>+IF(NOT(ISBLANK(BV153)),BV153+BV114,"")</f>
        <v/>
      </c>
      <c r="BW73" s="34" t="str">
        <f>+IF(NOT(ISBLANK(BW153)),BW153+BW114,"")</f>
        <v/>
      </c>
      <c r="BX73" s="34" t="str">
        <f>+IF(NOT(ISBLANK(BX153)),BX153+BX114,"")</f>
        <v/>
      </c>
      <c r="BY73" s="34" t="str">
        <f>+IF(NOT(ISBLANK(BY153)),BY153+BY114,"")</f>
        <v/>
      </c>
      <c r="BZ73" s="34" t="str">
        <f>+IF(NOT(ISBLANK(BZ153)),BZ153+BZ114,"")</f>
        <v/>
      </c>
      <c r="CA73" s="34" t="str">
        <f>+IF(NOT(ISBLANK(CA153)),CA153+CA114,"")</f>
        <v/>
      </c>
      <c r="CB73" s="34" t="str">
        <f>+IF(NOT(ISBLANK(CB153)),CB153+CB114,"")</f>
        <v/>
      </c>
      <c r="CC73" s="34" t="str">
        <f>+IF(NOT(ISBLANK(CC153)),CC153+CC114,"")</f>
        <v/>
      </c>
      <c r="CD73" s="34" t="str">
        <f>+IF(NOT(ISBLANK(CD153)),CD153+CD114,"")</f>
        <v/>
      </c>
      <c r="CE73" s="34" t="str">
        <f>+IF(NOT(ISBLANK(CE153)),CE153+CE114,"")</f>
        <v/>
      </c>
      <c r="CF73" s="34" t="str">
        <f>+IF(NOT(ISBLANK(CF153)),CF153+CF114,"")</f>
        <v/>
      </c>
      <c r="CG73" s="34" t="str">
        <f>+IF(NOT(ISBLANK(CG153)),CG153+CG114,"")</f>
        <v/>
      </c>
      <c r="CH73" s="34" t="str">
        <f>+IF(NOT(ISBLANK(CH153)),CH153+CH114,"")</f>
        <v/>
      </c>
      <c r="CI73" s="34" t="str">
        <f>+IF(NOT(ISBLANK(CI153)),CI153+CI114,"")</f>
        <v/>
      </c>
      <c r="CJ73" s="34" t="str">
        <f>+IF(NOT(ISBLANK(CJ153)),CJ153+CJ114,"")</f>
        <v/>
      </c>
      <c r="CK73" s="34" t="str">
        <f>+IF(NOT(ISBLANK(CK153)),CK153+CK114,"")</f>
        <v/>
      </c>
      <c r="CL73" s="34" t="str">
        <f>+IF(NOT(ISBLANK(CL153)),CL153+CL114,"")</f>
        <v/>
      </c>
      <c r="CM73" s="34" t="str">
        <f>+IF(NOT(ISBLANK(CM153)),CM153+CM114,"")</f>
        <v/>
      </c>
      <c r="CN73" s="34" t="str">
        <f>+IF(NOT(ISBLANK(CN153)),CN153+CN114,"")</f>
        <v/>
      </c>
      <c r="CO73" s="35"/>
      <c r="CP73" s="36">
        <f>+IF(NOT(ISBLANK(CP153)),CP153+CP114,"")</f>
        <v>-15.22999999999999</v>
      </c>
      <c r="CQ73" s="34"/>
      <c r="CR73" s="37">
        <f>+CP114/-CP153-1</f>
        <v>-9.8258064516128951E-2</v>
      </c>
      <c r="CS73" s="38">
        <f>+COUNT(D73:CO73)</f>
        <v>10</v>
      </c>
      <c r="CT73" s="38">
        <f>+COUNTIF(D114:CO114,"&gt;0")</f>
        <v>2</v>
      </c>
      <c r="CU73" s="37">
        <f>+CT73/CS73</f>
        <v>0.2</v>
      </c>
      <c r="CV73" s="37">
        <f>+SUMIF($D114:$CO114,"&gt;0",$D114:$CO114)/-SUMIF($D153:$CO153,"&lt;0",$D$186:$CO$186)</f>
        <v>9.6077043106470444E-2</v>
      </c>
      <c r="CW73" s="37">
        <f>+SUMIF($D153:$CO153,"&lt;0",$D153:$CO153)/SUMIF($D153:$CO153,"&lt;0",$D$186:$CO$186)</f>
        <v>0.10654605195322972</v>
      </c>
      <c r="CX73" s="39">
        <f>+CP73/CS73</f>
        <v>-1.522999999999999</v>
      </c>
    </row>
    <row r="74" spans="2:102" ht="12.75" hidden="1" customHeight="1" outlineLevel="1" x14ac:dyDescent="0.2">
      <c r="B74" s="40"/>
      <c r="C74" s="40" t="str">
        <f>+C115</f>
        <v>Juho Korhonen</v>
      </c>
      <c r="D74" s="41">
        <f>+IF(NOT(ISBLANK(D154)),D154+D115,"")</f>
        <v>-10</v>
      </c>
      <c r="E74" s="41">
        <f>+IF(NOT(ISBLANK(E154)),E154+E115,"")</f>
        <v>70</v>
      </c>
      <c r="F74" s="41">
        <f>+IF(NOT(ISBLANK(F154)),F154+F115,"")</f>
        <v>-10</v>
      </c>
      <c r="G74" s="41">
        <f>+IF(NOT(ISBLANK(G154)),G154+G115,"")</f>
        <v>-10</v>
      </c>
      <c r="H74" s="41" t="str">
        <f>+IF(NOT(ISBLANK(H154)),H154+H115,"")</f>
        <v/>
      </c>
      <c r="I74" s="41">
        <f>+IF(NOT(ISBLANK(I154)),I154+I115,"")</f>
        <v>-15</v>
      </c>
      <c r="J74" s="41">
        <f>+IF(NOT(ISBLANK(J154)),J154+J115,"")</f>
        <v>75</v>
      </c>
      <c r="K74" s="41" t="str">
        <f>+IF(NOT(ISBLANK(K154)),K154+K115,"")</f>
        <v/>
      </c>
      <c r="L74" s="41">
        <f>+IF(NOT(ISBLANK(L154)),L154+L115,"")</f>
        <v>-15</v>
      </c>
      <c r="M74" s="41" t="str">
        <f>+IF(NOT(ISBLANK(M154)),M154+M115,"")</f>
        <v/>
      </c>
      <c r="N74" s="41" t="str">
        <f>+IF(NOT(ISBLANK(N154)),N154+N115,"")</f>
        <v/>
      </c>
      <c r="O74" s="41">
        <f>+IF(NOT(ISBLANK(O154)),O154+O115,"")</f>
        <v>-15</v>
      </c>
      <c r="P74" s="41">
        <f>+IF(NOT(ISBLANK(P154)),P154+P115,"")</f>
        <v>-30</v>
      </c>
      <c r="Q74" s="41">
        <f>+IF(NOT(ISBLANK(Q154)),Q154+Q115,"")</f>
        <v>-15</v>
      </c>
      <c r="R74" s="41">
        <f>+IF(NOT(ISBLANK(R154)),R154+R115,"")</f>
        <v>75</v>
      </c>
      <c r="S74" s="41">
        <f>+IF(NOT(ISBLANK(S154)),S154+S115,"")</f>
        <v>-15</v>
      </c>
      <c r="T74" s="41">
        <f>+IF(NOT(ISBLANK(T154)),T154+T115,"")</f>
        <v>-30</v>
      </c>
      <c r="U74" s="41">
        <f>+IF(NOT(ISBLANK(U154)),U154+U115,"")</f>
        <v>-15</v>
      </c>
      <c r="V74" s="41">
        <f>+IF(NOT(ISBLANK(V154)),V154+V115,"")</f>
        <v>-15</v>
      </c>
      <c r="W74" s="41">
        <f>+IF(NOT(ISBLANK(W154)),W154+W115,"")</f>
        <v>-15</v>
      </c>
      <c r="X74" s="41">
        <f>+IF(NOT(ISBLANK(X154)),X154+X115,"")</f>
        <v>-30</v>
      </c>
      <c r="Y74" s="41">
        <f>+IF(NOT(ISBLANK(Y154)),Y154+Y115,"")</f>
        <v>-30</v>
      </c>
      <c r="Z74" s="41">
        <f>+IF(NOT(ISBLANK(Z154)),Z154+Z115,"")</f>
        <v>-15</v>
      </c>
      <c r="AA74" s="41">
        <f>+IF(NOT(ISBLANK(AA154)),AA154+AA115,"")</f>
        <v>-15</v>
      </c>
      <c r="AB74" s="41">
        <f>+IF(NOT(ISBLANK(AB154)),AB154+AB115,"")</f>
        <v>-15</v>
      </c>
      <c r="AC74" s="41">
        <f>+IF(NOT(ISBLANK(AC154)),AC154+AC115,"")</f>
        <v>-15</v>
      </c>
      <c r="AD74" s="41">
        <f>+IF(NOT(ISBLANK(AD154)),AD154+AD115,"")</f>
        <v>60</v>
      </c>
      <c r="AE74" s="41">
        <f>+IF(NOT(ISBLANK(AE154)),AE154+AE115,"")</f>
        <v>100</v>
      </c>
      <c r="AF74" s="41">
        <f>+IF(NOT(ISBLANK(AF154)),AF154+AF115,"")</f>
        <v>-30</v>
      </c>
      <c r="AG74" s="41">
        <f>+IF(NOT(ISBLANK(AG154)),AG154+AG115,"")</f>
        <v>45</v>
      </c>
      <c r="AH74" s="41">
        <f>+IF(NOT(ISBLANK(AH154)),AH154+AH115,"")</f>
        <v>-30</v>
      </c>
      <c r="AI74" s="41">
        <f>+IF(NOT(ISBLANK(AI154)),AI154+AI115,"")</f>
        <v>-45</v>
      </c>
      <c r="AJ74" s="41">
        <f>+IF(NOT(ISBLANK(AJ154)),AJ154+AJ115,"")</f>
        <v>-30</v>
      </c>
      <c r="AK74" s="41">
        <f>+IF(NOT(ISBLANK(AK154)),AK154+AK115,"")</f>
        <v>-10</v>
      </c>
      <c r="AL74" s="41">
        <f>+IF(NOT(ISBLANK(AL154)),AL154+AL115,"")</f>
        <v>-30</v>
      </c>
      <c r="AM74" s="41">
        <f>+IF(NOT(ISBLANK(AM154)),AM154+AM115,"")</f>
        <v>-15</v>
      </c>
      <c r="AN74" s="41">
        <f>+IF(NOT(ISBLANK(AN154)),AN154+AN115,"")</f>
        <v>-15</v>
      </c>
      <c r="AO74" s="41">
        <f>+IF(NOT(ISBLANK(AO154)),AO154+AO115,"")</f>
        <v>-10</v>
      </c>
      <c r="AP74" s="41">
        <f>+IF(NOT(ISBLANK(AP154)),AP154+AP115,"")</f>
        <v>-30</v>
      </c>
      <c r="AQ74" s="41">
        <f>+IF(NOT(ISBLANK(AQ154)),AQ154+AQ115,"")</f>
        <v>-15</v>
      </c>
      <c r="AR74" s="41">
        <f>+IF(NOT(ISBLANK(AR154)),AR154+AR115,"")</f>
        <v>-15</v>
      </c>
      <c r="AS74" s="41">
        <f>+IF(NOT(ISBLANK(AS154)),AS154+AS115,"")</f>
        <v>-60</v>
      </c>
      <c r="AT74" s="41" t="str">
        <f>+IF(NOT(ISBLANK(AT154)),AT154+AT115,"")</f>
        <v/>
      </c>
      <c r="AU74" s="41" t="str">
        <f>+IF(NOT(ISBLANK(AU154)),AU154+AU115,"")</f>
        <v/>
      </c>
      <c r="AV74" s="41" t="str">
        <f>+IF(NOT(ISBLANK(AV154)),AV154+AV115,"")</f>
        <v/>
      </c>
      <c r="AW74" s="41">
        <f>+IF(NOT(ISBLANK(AW154)),AW154+AW115,"")</f>
        <v>9</v>
      </c>
      <c r="AX74" s="41">
        <f>+IF(NOT(ISBLANK(AX154)),AX154+AX115,"")</f>
        <v>-15</v>
      </c>
      <c r="AY74" s="41">
        <f>+IF(NOT(ISBLANK(AY154)),AY154+AY115,"")</f>
        <v>-15</v>
      </c>
      <c r="AZ74" s="41" t="str">
        <f>+IF(NOT(ISBLANK(AZ154)),AZ154+AZ115,"")</f>
        <v/>
      </c>
      <c r="BA74" s="41" t="str">
        <f>+IF(NOT(ISBLANK(BA154)),BA154+BA115,"")</f>
        <v/>
      </c>
      <c r="BB74" s="41" t="str">
        <f>+IF(NOT(ISBLANK(BB154)),BB154+BB115,"")</f>
        <v/>
      </c>
      <c r="BC74" s="41">
        <f>+IF(NOT(ISBLANK(BC154)),BC154+BC115,"")</f>
        <v>-20</v>
      </c>
      <c r="BD74" s="41" t="str">
        <f>+IF(NOT(ISBLANK(BD154)),BD154+BD115,"")</f>
        <v/>
      </c>
      <c r="BE74" s="41" t="str">
        <f>+IF(NOT(ISBLANK(BE154)),BE154+BE115,"")</f>
        <v/>
      </c>
      <c r="BF74" s="41">
        <f>+IF(NOT(ISBLANK(BF154)),BF154+BF115,"")</f>
        <v>-10</v>
      </c>
      <c r="BG74" s="41" t="str">
        <f>+IF(NOT(ISBLANK(BG154)),BG154+BG115,"")</f>
        <v/>
      </c>
      <c r="BH74" s="41" t="str">
        <f>+IF(NOT(ISBLANK(BH154)),BH154+BH115,"")</f>
        <v/>
      </c>
      <c r="BI74" s="41">
        <f>+IF(NOT(ISBLANK(BI154)),BI154+BI115,"")</f>
        <v>80</v>
      </c>
      <c r="BJ74" s="41" t="str">
        <f>+IF(NOT(ISBLANK(BJ154)),BJ154+BJ115,"")</f>
        <v/>
      </c>
      <c r="BK74" s="41">
        <f>+IF(NOT(ISBLANK(BK154)),BK154+BK115,"")</f>
        <v>-20</v>
      </c>
      <c r="BL74" s="41" t="str">
        <f>+IF(NOT(ISBLANK(BL154)),BL154+BL115,"")</f>
        <v/>
      </c>
      <c r="BM74" s="41">
        <f>+IF(NOT(ISBLANK(BM154)),BM154+BM115,"")</f>
        <v>-40</v>
      </c>
      <c r="BN74" s="41" t="str">
        <f>+IF(NOT(ISBLANK(BN154)),BN154+BN115,"")</f>
        <v/>
      </c>
      <c r="BO74" s="41" t="str">
        <f>+IF(NOT(ISBLANK(BO154)),BO154+BO115,"")</f>
        <v/>
      </c>
      <c r="BP74" s="41">
        <f>+IF(NOT(ISBLANK(BP154)),BP154+BP115,"")</f>
        <v>-20</v>
      </c>
      <c r="BQ74" s="41" t="str">
        <f>+IF(NOT(ISBLANK(BQ154)),BQ154+BQ115,"")</f>
        <v/>
      </c>
      <c r="BR74" s="41">
        <f>+IF(NOT(ISBLANK(BR154)),BR154+BR115,"")</f>
        <v>160</v>
      </c>
      <c r="BS74" s="41" t="str">
        <f>+IF(NOT(ISBLANK(BS154)),BS154+BS115,"")</f>
        <v/>
      </c>
      <c r="BT74" s="41" t="str">
        <f>+IF(NOT(ISBLANK(BT154)),BT154+BT115,"")</f>
        <v/>
      </c>
      <c r="BU74" s="41" t="str">
        <f>+IF(NOT(ISBLANK(BU154)),BU154+BU115,"")</f>
        <v/>
      </c>
      <c r="BV74" s="41">
        <f>+IF(NOT(ISBLANK(BV154)),BV154+BV115,"")</f>
        <v>-20</v>
      </c>
      <c r="BW74" s="41" t="str">
        <f>+IF(NOT(ISBLANK(BW154)),BW154+BW115,"")</f>
        <v/>
      </c>
      <c r="BX74" s="41" t="str">
        <f>+IF(NOT(ISBLANK(BX154)),BX154+BX115,"")</f>
        <v/>
      </c>
      <c r="BY74" s="41" t="str">
        <f>+IF(NOT(ISBLANK(BY154)),BY154+BY115,"")</f>
        <v/>
      </c>
      <c r="BZ74" s="41" t="str">
        <f>+IF(NOT(ISBLANK(BZ154)),BZ154+BZ115,"")</f>
        <v/>
      </c>
      <c r="CA74" s="41" t="str">
        <f>+IF(NOT(ISBLANK(CA154)),CA154+CA115,"")</f>
        <v/>
      </c>
      <c r="CB74" s="41">
        <f>+IF(NOT(ISBLANK(CB154)),CB154+CB115,"")</f>
        <v>-40</v>
      </c>
      <c r="CC74" s="41" t="str">
        <f>+IF(NOT(ISBLANK(CC154)),CC154+CC115,"")</f>
        <v/>
      </c>
      <c r="CD74" s="41" t="str">
        <f>+IF(NOT(ISBLANK(CD154)),CD154+CD115,"")</f>
        <v/>
      </c>
      <c r="CE74" s="41" t="str">
        <f>+IF(NOT(ISBLANK(CE154)),CE154+CE115,"")</f>
        <v/>
      </c>
      <c r="CF74" s="41" t="str">
        <f>+IF(NOT(ISBLANK(CF154)),CF154+CF115,"")</f>
        <v/>
      </c>
      <c r="CG74" s="41" t="str">
        <f>+IF(NOT(ISBLANK(CG154)),CG154+CG115,"")</f>
        <v/>
      </c>
      <c r="CH74" s="41" t="str">
        <f>+IF(NOT(ISBLANK(CH154)),CH154+CH115,"")</f>
        <v/>
      </c>
      <c r="CI74" s="41" t="str">
        <f>+IF(NOT(ISBLANK(CI154)),CI154+CI115,"")</f>
        <v/>
      </c>
      <c r="CJ74" s="41" t="str">
        <f>+IF(NOT(ISBLANK(CJ154)),CJ154+CJ115,"")</f>
        <v/>
      </c>
      <c r="CK74" s="41" t="str">
        <f>+IF(NOT(ISBLANK(CK154)),CK154+CK115,"")</f>
        <v/>
      </c>
      <c r="CL74" s="41" t="str">
        <f>+IF(NOT(ISBLANK(CL154)),CL154+CL115,"")</f>
        <v/>
      </c>
      <c r="CM74" s="41" t="str">
        <f>+IF(NOT(ISBLANK(CM154)),CM154+CM115,"")</f>
        <v/>
      </c>
      <c r="CN74" s="41" t="str">
        <f>+IF(NOT(ISBLANK(CN154)),CN154+CN115,"")</f>
        <v/>
      </c>
      <c r="CO74" s="42"/>
      <c r="CP74" s="29">
        <f>+IF(NOT(ISBLANK(CP154)),CP154+CP115,"")</f>
        <v>-191</v>
      </c>
      <c r="CQ74" s="41"/>
      <c r="CR74" s="30">
        <f>+CP115/-CP154-1</f>
        <v>-0.18277511961722492</v>
      </c>
      <c r="CS74" s="31">
        <f>+COUNT(D74:CO74)</f>
        <v>50</v>
      </c>
      <c r="CT74" s="31">
        <f>+COUNTIF(D115:CO115,"&gt;0")</f>
        <v>9</v>
      </c>
      <c r="CU74" s="30">
        <f>+CT74/CS74</f>
        <v>0.18</v>
      </c>
      <c r="CV74" s="30">
        <f>+SUMIF($D115:$CO115,"&gt;0",$D115:$CO115)/-SUMIF($D154:$CO154,"&lt;0",$D$186:$CO$186)</f>
        <v>0.14674119423963489</v>
      </c>
      <c r="CW74" s="30">
        <f>+SUMIF($D154:$CO154,"&lt;0",$D154:$CO154)/SUMIF($D154:$CO154,"&lt;0",$D$186:$CO$186)</f>
        <v>0.1795603606328085</v>
      </c>
      <c r="CX74" s="32">
        <f t="shared" ref="CX74:CX83" si="154">+CP74/CS74</f>
        <v>-3.82</v>
      </c>
    </row>
    <row r="75" spans="2:102" ht="12.75" hidden="1" customHeight="1" outlineLevel="1" x14ac:dyDescent="0.2">
      <c r="B75" s="33"/>
      <c r="C75" s="33" t="str">
        <f>+C116</f>
        <v>Roope Rättö</v>
      </c>
      <c r="D75" s="34" t="str">
        <f>+IF(NOT(ISBLANK(D155)),D155+D116,"")</f>
        <v/>
      </c>
      <c r="E75" s="34" t="str">
        <f>+IF(NOT(ISBLANK(E155)),E155+E116,"")</f>
        <v/>
      </c>
      <c r="F75" s="34" t="str">
        <f>+IF(NOT(ISBLANK(F155)),F155+F116,"")</f>
        <v/>
      </c>
      <c r="G75" s="34">
        <f>+IF(NOT(ISBLANK(G155)),G155+G116,"")</f>
        <v>40</v>
      </c>
      <c r="H75" s="34">
        <f>+IF(NOT(ISBLANK(H155)),H155+H116,"")</f>
        <v>-15</v>
      </c>
      <c r="I75" s="34">
        <f>+IF(NOT(ISBLANK(I155)),I155+I116,"")</f>
        <v>45</v>
      </c>
      <c r="J75" s="34">
        <f>+IF(NOT(ISBLANK(J155)),J155+J116,"")</f>
        <v>-15</v>
      </c>
      <c r="K75" s="34">
        <f>+IF(NOT(ISBLANK(K155)),K155+K116,"")</f>
        <v>85</v>
      </c>
      <c r="L75" s="34" t="str">
        <f>+IF(NOT(ISBLANK(L155)),L155+L116,"")</f>
        <v/>
      </c>
      <c r="M75" s="34">
        <f>+IF(NOT(ISBLANK(M155)),M155+M116,"")</f>
        <v>60</v>
      </c>
      <c r="N75" s="34">
        <f>+IF(NOT(ISBLANK(N155)),N155+N116,"")</f>
        <v>-15</v>
      </c>
      <c r="O75" s="34">
        <f>+IF(NOT(ISBLANK(O155)),O155+O116,"")</f>
        <v>-30</v>
      </c>
      <c r="P75" s="34">
        <f>+IF(NOT(ISBLANK(P155)),P155+P116,"")</f>
        <v>-15</v>
      </c>
      <c r="Q75" s="34">
        <f>+IF(NOT(ISBLANK(Q155)),Q155+Q116,"")</f>
        <v>-30</v>
      </c>
      <c r="R75" s="34">
        <f>+IF(NOT(ISBLANK(R155)),R155+R116,"")</f>
        <v>-15</v>
      </c>
      <c r="S75" s="34">
        <f>+IF(NOT(ISBLANK(S155)),S155+S116,"")</f>
        <v>-15</v>
      </c>
      <c r="T75" s="34">
        <f>+IF(NOT(ISBLANK(T155)),T155+T116,"")</f>
        <v>-30</v>
      </c>
      <c r="U75" s="34">
        <f>+IF(NOT(ISBLANK(U155)),U155+U116,"")</f>
        <v>60</v>
      </c>
      <c r="V75" s="34">
        <f>+IF(NOT(ISBLANK(V155)),V155+V116,"")</f>
        <v>-15</v>
      </c>
      <c r="W75" s="34">
        <f>+IF(NOT(ISBLANK(W155)),W155+W116,"")</f>
        <v>-30</v>
      </c>
      <c r="X75" s="34" t="str">
        <f>+IF(NOT(ISBLANK(X155)),X155+X116,"")</f>
        <v/>
      </c>
      <c r="Y75" s="34" t="str">
        <f>+IF(NOT(ISBLANK(Y155)),Y155+Y116,"")</f>
        <v/>
      </c>
      <c r="Z75" s="34">
        <f>+IF(NOT(ISBLANK(Z155)),Z155+Z116,"")</f>
        <v>-15</v>
      </c>
      <c r="AA75" s="34">
        <f>+IF(NOT(ISBLANK(AA155)),AA155+AA116,"")</f>
        <v>-15</v>
      </c>
      <c r="AB75" s="34" t="str">
        <f>+IF(NOT(ISBLANK(AB155)),AB155+AB116,"")</f>
        <v/>
      </c>
      <c r="AC75" s="34" t="str">
        <f>+IF(NOT(ISBLANK(AC155)),AC155+AC116,"")</f>
        <v/>
      </c>
      <c r="AD75" s="34" t="str">
        <f>+IF(NOT(ISBLANK(AD155)),AD155+AD116,"")</f>
        <v/>
      </c>
      <c r="AE75" s="34" t="str">
        <f>+IF(NOT(ISBLANK(AE155)),AE155+AE116,"")</f>
        <v/>
      </c>
      <c r="AF75" s="34">
        <f>+IF(NOT(ISBLANK(AF155)),AF155+AF116,"")</f>
        <v>-15</v>
      </c>
      <c r="AG75" s="34">
        <f>+IF(NOT(ISBLANK(AG155)),AG155+AG116,"")</f>
        <v>-15</v>
      </c>
      <c r="AH75" s="34" t="str">
        <f>+IF(NOT(ISBLANK(AH155)),AH155+AH116,"")</f>
        <v/>
      </c>
      <c r="AI75" s="34" t="str">
        <f>+IF(NOT(ISBLANK(AI155)),AI155+AI116,"")</f>
        <v/>
      </c>
      <c r="AJ75" s="34">
        <f>+IF(NOT(ISBLANK(AJ155)),AJ155+AJ116,"")</f>
        <v>-15</v>
      </c>
      <c r="AK75" s="34">
        <f>+IF(NOT(ISBLANK(AK155)),AK155+AK116,"")</f>
        <v>-20</v>
      </c>
      <c r="AL75" s="34" t="str">
        <f>+IF(NOT(ISBLANK(AL155)),AL155+AL116,"")</f>
        <v/>
      </c>
      <c r="AM75" s="34" t="str">
        <f>+IF(NOT(ISBLANK(AM155)),AM155+AM116,"")</f>
        <v/>
      </c>
      <c r="AN75" s="34">
        <f>+IF(NOT(ISBLANK(AN155)),AN155+AN116,"")</f>
        <v>-30</v>
      </c>
      <c r="AO75" s="34">
        <f>+IF(NOT(ISBLANK(AO155)),AO155+AO116,"")</f>
        <v>-10</v>
      </c>
      <c r="AP75" s="34">
        <f>+IF(NOT(ISBLANK(AP155)),AP155+AP116,"")</f>
        <v>-15</v>
      </c>
      <c r="AQ75" s="34" t="str">
        <f>+IF(NOT(ISBLANK(AQ155)),AQ155+AQ116,"")</f>
        <v/>
      </c>
      <c r="AR75" s="34" t="str">
        <f>+IF(NOT(ISBLANK(AR155)),AR155+AR116,"")</f>
        <v/>
      </c>
      <c r="AS75" s="34" t="str">
        <f>+IF(NOT(ISBLANK(AS155)),AS155+AS116,"")</f>
        <v/>
      </c>
      <c r="AT75" s="34">
        <f>+IF(NOT(ISBLANK(AT155)),AT155+AT116,"")</f>
        <v>-30</v>
      </c>
      <c r="AU75" s="34">
        <f>+IF(NOT(ISBLANK(AU155)),AU155+AU116,"")</f>
        <v>-30</v>
      </c>
      <c r="AV75" s="34" t="str">
        <f>+IF(NOT(ISBLANK(AV155)),AV155+AV116,"")</f>
        <v/>
      </c>
      <c r="AW75" s="34" t="str">
        <f>+IF(NOT(ISBLANK(AW155)),AW155+AW116,"")</f>
        <v/>
      </c>
      <c r="AX75" s="34">
        <f>+IF(NOT(ISBLANK(AX155)),AX155+AX116,"")</f>
        <v>-30</v>
      </c>
      <c r="AY75" s="34">
        <f>+IF(NOT(ISBLANK(AY155)),AY155+AY116,"")</f>
        <v>45</v>
      </c>
      <c r="AZ75" s="34" t="str">
        <f>+IF(NOT(ISBLANK(AZ155)),AZ155+AZ116,"")</f>
        <v/>
      </c>
      <c r="BA75" s="34" t="str">
        <f>+IF(NOT(ISBLANK(BA155)),BA155+BA116,"")</f>
        <v/>
      </c>
      <c r="BB75" s="34" t="str">
        <f>+IF(NOT(ISBLANK(BB155)),BB155+BB116,"")</f>
        <v/>
      </c>
      <c r="BC75" s="34" t="str">
        <f>+IF(NOT(ISBLANK(BC155)),BC155+BC116,"")</f>
        <v/>
      </c>
      <c r="BD75" s="34" t="str">
        <f>+IF(NOT(ISBLANK(BD155)),BD155+BD116,"")</f>
        <v/>
      </c>
      <c r="BE75" s="34" t="str">
        <f>+IF(NOT(ISBLANK(BE155)),BE155+BE116,"")</f>
        <v/>
      </c>
      <c r="BF75" s="34" t="str">
        <f>+IF(NOT(ISBLANK(BF155)),BF155+BF116,"")</f>
        <v/>
      </c>
      <c r="BG75" s="34" t="str">
        <f>+IF(NOT(ISBLANK(BG155)),BG155+BG116,"")</f>
        <v/>
      </c>
      <c r="BH75" s="34">
        <f>+IF(NOT(ISBLANK(BH155)),BH155+BH116,"")</f>
        <v>-20</v>
      </c>
      <c r="BI75" s="34" t="str">
        <f>+IF(NOT(ISBLANK(BI155)),BI155+BI116,"")</f>
        <v/>
      </c>
      <c r="BJ75" s="34" t="str">
        <f>+IF(NOT(ISBLANK(BJ155)),BJ155+BJ116,"")</f>
        <v/>
      </c>
      <c r="BK75" s="34" t="str">
        <f>+IF(NOT(ISBLANK(BK155)),BK155+BK116,"")</f>
        <v/>
      </c>
      <c r="BL75" s="34" t="str">
        <f>+IF(NOT(ISBLANK(BL155)),BL155+BL116,"")</f>
        <v/>
      </c>
      <c r="BM75" s="34" t="str">
        <f>+IF(NOT(ISBLANK(BM155)),BM155+BM116,"")</f>
        <v/>
      </c>
      <c r="BN75" s="34" t="str">
        <f>+IF(NOT(ISBLANK(BN155)),BN155+BN116,"")</f>
        <v/>
      </c>
      <c r="BO75" s="34" t="str">
        <f>+IF(NOT(ISBLANK(BO155)),BO155+BO116,"")</f>
        <v/>
      </c>
      <c r="BP75" s="34" t="str">
        <f>+IF(NOT(ISBLANK(BP155)),BP155+BP116,"")</f>
        <v/>
      </c>
      <c r="BQ75" s="34" t="str">
        <f>+IF(NOT(ISBLANK(BQ155)),BQ155+BQ116,"")</f>
        <v/>
      </c>
      <c r="BR75" s="34" t="str">
        <f>+IF(NOT(ISBLANK(BR155)),BR155+BR116,"")</f>
        <v/>
      </c>
      <c r="BS75" s="34" t="str">
        <f>+IF(NOT(ISBLANK(BS155)),BS155+BS116,"")</f>
        <v/>
      </c>
      <c r="BT75" s="34" t="str">
        <f>+IF(NOT(ISBLANK(BT155)),BT155+BT116,"")</f>
        <v/>
      </c>
      <c r="BU75" s="34" t="str">
        <f>+IF(NOT(ISBLANK(BU155)),BU155+BU116,"")</f>
        <v/>
      </c>
      <c r="BV75" s="34" t="str">
        <f>+IF(NOT(ISBLANK(BV155)),BV155+BV116,"")</f>
        <v/>
      </c>
      <c r="BW75" s="34" t="str">
        <f>+IF(NOT(ISBLANK(BW155)),BW155+BW116,"")</f>
        <v/>
      </c>
      <c r="BX75" s="34" t="str">
        <f>+IF(NOT(ISBLANK(BX155)),BX155+BX116,"")</f>
        <v/>
      </c>
      <c r="BY75" s="34" t="str">
        <f>+IF(NOT(ISBLANK(BY155)),BY155+BY116,"")</f>
        <v/>
      </c>
      <c r="BZ75" s="34" t="str">
        <f>+IF(NOT(ISBLANK(BZ155)),BZ155+BZ116,"")</f>
        <v/>
      </c>
      <c r="CA75" s="34" t="str">
        <f>+IF(NOT(ISBLANK(CA155)),CA155+CA116,"")</f>
        <v/>
      </c>
      <c r="CB75" s="34" t="str">
        <f>+IF(NOT(ISBLANK(CB155)),CB155+CB116,"")</f>
        <v/>
      </c>
      <c r="CC75" s="34" t="str">
        <f>+IF(NOT(ISBLANK(CC155)),CC155+CC116,"")</f>
        <v/>
      </c>
      <c r="CD75" s="34" t="str">
        <f>+IF(NOT(ISBLANK(CD155)),CD155+CD116,"")</f>
        <v/>
      </c>
      <c r="CE75" s="34">
        <f>+IF(NOT(ISBLANK(CE155)),CE155+CE116,"")</f>
        <v>-60</v>
      </c>
      <c r="CF75" s="34" t="str">
        <f>+IF(NOT(ISBLANK(CF155)),CF155+CF116,"")</f>
        <v/>
      </c>
      <c r="CG75" s="34" t="str">
        <f>+IF(NOT(ISBLANK(CG155)),CG155+CG116,"")</f>
        <v/>
      </c>
      <c r="CH75" s="34" t="str">
        <f>+IF(NOT(ISBLANK(CH155)),CH155+CH116,"")</f>
        <v/>
      </c>
      <c r="CI75" s="34" t="str">
        <f>+IF(NOT(ISBLANK(CI155)),CI155+CI116,"")</f>
        <v/>
      </c>
      <c r="CJ75" s="34" t="str">
        <f>+IF(NOT(ISBLANK(CJ155)),CJ155+CJ116,"")</f>
        <v/>
      </c>
      <c r="CK75" s="34">
        <f>+IF(NOT(ISBLANK(CK155)),CK155+CK116,"")</f>
        <v>-50</v>
      </c>
      <c r="CL75" s="34" t="str">
        <f>+IF(NOT(ISBLANK(CL155)),CL155+CL116,"")</f>
        <v/>
      </c>
      <c r="CM75" s="34" t="str">
        <f>+IF(NOT(ISBLANK(CM155)),CM155+CM116,"")</f>
        <v/>
      </c>
      <c r="CN75" s="34" t="str">
        <f>+IF(NOT(ISBLANK(CN155)),CN155+CN116,"")</f>
        <v/>
      </c>
      <c r="CO75" s="35"/>
      <c r="CP75" s="36">
        <f>+IF(NOT(ISBLANK(CP155)),CP155+CP116,"")</f>
        <v>-260</v>
      </c>
      <c r="CQ75" s="34"/>
      <c r="CR75" s="37">
        <f>+CP116/-CP155-1</f>
        <v>-0.37410071942446044</v>
      </c>
      <c r="CS75" s="38">
        <f>+COUNT(D75:CO75)</f>
        <v>32</v>
      </c>
      <c r="CT75" s="38">
        <f>+COUNTIF(D116:CO116,"&gt;0")</f>
        <v>6</v>
      </c>
      <c r="CU75" s="37">
        <f>+CT75/CS75</f>
        <v>0.1875</v>
      </c>
      <c r="CV75" s="37">
        <f>+SUMIF($D116:$CO116,"&gt;0",$D116:$CO116)/-SUMIF($D155:$CO155,"&lt;0",$D$186:$CO$186)</f>
        <v>0.12757458714224126</v>
      </c>
      <c r="CW75" s="37">
        <f>+SUMIF($D155:$CO155,"&lt;0",$D155:$CO155)/SUMIF($D155:$CO155,"&lt;0",$D$186:$CO$186)</f>
        <v>0.20382606451461535</v>
      </c>
      <c r="CX75" s="39">
        <f>+CP75/CS75</f>
        <v>-8.125</v>
      </c>
    </row>
    <row r="76" spans="2:102" ht="12.75" hidden="1" customHeight="1" outlineLevel="1" x14ac:dyDescent="0.2">
      <c r="B76" s="40"/>
      <c r="C76" s="40" t="str">
        <f>+C117</f>
        <v>Joonas Rasa</v>
      </c>
      <c r="D76" s="41">
        <f>+IF(NOT(ISBLANK(D156)),D156+D117,"")</f>
        <v>40</v>
      </c>
      <c r="E76" s="41">
        <f>+IF(NOT(ISBLANK(E156)),E156+E117,"")</f>
        <v>-10</v>
      </c>
      <c r="F76" s="41">
        <f>+IF(NOT(ISBLANK(F156)),F156+F117,"")</f>
        <v>-20</v>
      </c>
      <c r="G76" s="41">
        <f>+IF(NOT(ISBLANK(G156)),G156+G117,"")</f>
        <v>-20</v>
      </c>
      <c r="H76" s="41" t="str">
        <f>+IF(NOT(ISBLANK(H156)),H156+H117,"")</f>
        <v/>
      </c>
      <c r="I76" s="41">
        <f>+IF(NOT(ISBLANK(I156)),I156+I117,"")</f>
        <v>-15</v>
      </c>
      <c r="J76" s="41" t="str">
        <f>+IF(NOT(ISBLANK(J156)),J156+J117,"")</f>
        <v/>
      </c>
      <c r="K76" s="41">
        <f>+IF(NOT(ISBLANK(K156)),K156+K117,"")</f>
        <v>-30</v>
      </c>
      <c r="L76" s="41" t="str">
        <f>+IF(NOT(ISBLANK(L156)),L156+L117,"")</f>
        <v/>
      </c>
      <c r="M76" s="41" t="str">
        <f>+IF(NOT(ISBLANK(M156)),M156+M117,"")</f>
        <v/>
      </c>
      <c r="N76" s="41" t="str">
        <f>+IF(NOT(ISBLANK(N156)),N156+N117,"")</f>
        <v/>
      </c>
      <c r="O76" s="41" t="str">
        <f>+IF(NOT(ISBLANK(O156)),O156+O117,"")</f>
        <v/>
      </c>
      <c r="P76" s="41" t="str">
        <f>+IF(NOT(ISBLANK(P156)),P156+P117,"")</f>
        <v/>
      </c>
      <c r="Q76" s="41">
        <f>+IF(NOT(ISBLANK(Q156)),Q156+Q117,"")</f>
        <v>105</v>
      </c>
      <c r="R76" s="41">
        <f>+IF(NOT(ISBLANK(R156)),R156+R117,"")</f>
        <v>-15</v>
      </c>
      <c r="S76" s="41" t="str">
        <f>+IF(NOT(ISBLANK(S156)),S156+S117,"")</f>
        <v/>
      </c>
      <c r="T76" s="41">
        <f>+IF(NOT(ISBLANK(T156)),T156+T117,"")</f>
        <v>-15</v>
      </c>
      <c r="U76" s="41">
        <f>+IF(NOT(ISBLANK(U156)),U156+U117,"")</f>
        <v>-30</v>
      </c>
      <c r="V76" s="41" t="str">
        <f>+IF(NOT(ISBLANK(V156)),V156+V117,"")</f>
        <v/>
      </c>
      <c r="W76" s="41">
        <f>+IF(NOT(ISBLANK(W156)),W156+W117,"")</f>
        <v>90</v>
      </c>
      <c r="X76" s="41" t="str">
        <f>+IF(NOT(ISBLANK(X156)),X156+X117,"")</f>
        <v/>
      </c>
      <c r="Y76" s="41" t="str">
        <f>+IF(NOT(ISBLANK(Y156)),Y156+Y117,"")</f>
        <v/>
      </c>
      <c r="Z76" s="41" t="str">
        <f>+IF(NOT(ISBLANK(Z156)),Z156+Z117,"")</f>
        <v/>
      </c>
      <c r="AA76" s="41" t="str">
        <f>+IF(NOT(ISBLANK(AA156)),AA156+AA117,"")</f>
        <v/>
      </c>
      <c r="AB76" s="41" t="str">
        <f>+IF(NOT(ISBLANK(AB156)),AB156+AB117,"")</f>
        <v/>
      </c>
      <c r="AC76" s="41" t="str">
        <f>+IF(NOT(ISBLANK(AC156)),AC156+AC117,"")</f>
        <v/>
      </c>
      <c r="AD76" s="41" t="str">
        <f>+IF(NOT(ISBLANK(AD156)),AD156+AD117,"")</f>
        <v/>
      </c>
      <c r="AE76" s="41" t="str">
        <f>+IF(NOT(ISBLANK(AE156)),AE156+AE117,"")</f>
        <v/>
      </c>
      <c r="AF76" s="41" t="str">
        <f>+IF(NOT(ISBLANK(AF156)),AF156+AF117,"")</f>
        <v/>
      </c>
      <c r="AG76" s="41" t="str">
        <f>+IF(NOT(ISBLANK(AG156)),AG156+AG117,"")</f>
        <v/>
      </c>
      <c r="AH76" s="41" t="str">
        <f>+IF(NOT(ISBLANK(AH156)),AH156+AH117,"")</f>
        <v/>
      </c>
      <c r="AI76" s="41">
        <f>+IF(NOT(ISBLANK(AI156)),AI156+AI117,"")</f>
        <v>75</v>
      </c>
      <c r="AJ76" s="41">
        <f>+IF(NOT(ISBLANK(AJ156)),AJ156+AJ117,"")</f>
        <v>-30</v>
      </c>
      <c r="AK76" s="41">
        <f>+IF(NOT(ISBLANK(AK156)),AK156+AK117,"")</f>
        <v>-20</v>
      </c>
      <c r="AL76" s="41" t="str">
        <f>+IF(NOT(ISBLANK(AL156)),AL156+AL117,"")</f>
        <v/>
      </c>
      <c r="AM76" s="41" t="str">
        <f>+IF(NOT(ISBLANK(AM156)),AM156+AM117,"")</f>
        <v/>
      </c>
      <c r="AN76" s="41" t="str">
        <f>+IF(NOT(ISBLANK(AN156)),AN156+AN117,"")</f>
        <v/>
      </c>
      <c r="AO76" s="41" t="str">
        <f>+IF(NOT(ISBLANK(AO156)),AO156+AO117,"")</f>
        <v/>
      </c>
      <c r="AP76" s="41" t="str">
        <f>+IF(NOT(ISBLANK(AP156)),AP156+AP117,"")</f>
        <v/>
      </c>
      <c r="AQ76" s="41" t="str">
        <f>+IF(NOT(ISBLANK(AQ156)),AQ156+AQ117,"")</f>
        <v/>
      </c>
      <c r="AR76" s="41" t="str">
        <f>+IF(NOT(ISBLANK(AR156)),AR156+AR117,"")</f>
        <v/>
      </c>
      <c r="AS76" s="41">
        <f>+IF(NOT(ISBLANK(AS156)),AS156+AS117,"")</f>
        <v>-40</v>
      </c>
      <c r="AT76" s="41" t="str">
        <f>+IF(NOT(ISBLANK(AT156)),AT156+AT117,"")</f>
        <v/>
      </c>
      <c r="AU76" s="41" t="str">
        <f>+IF(NOT(ISBLANK(AU156)),AU156+AU117,"")</f>
        <v/>
      </c>
      <c r="AV76" s="41" t="str">
        <f>+IF(NOT(ISBLANK(AV156)),AV156+AV117,"")</f>
        <v/>
      </c>
      <c r="AW76" s="41" t="str">
        <f>+IF(NOT(ISBLANK(AW156)),AW156+AW117,"")</f>
        <v/>
      </c>
      <c r="AX76" s="41">
        <f>+IF(NOT(ISBLANK(AX156)),AX156+AX117,"")</f>
        <v>-15</v>
      </c>
      <c r="AY76" s="41">
        <f>+IF(NOT(ISBLANK(AY156)),AY156+AY117,"")</f>
        <v>-15</v>
      </c>
      <c r="AZ76" s="41">
        <f>+IF(NOT(ISBLANK(AZ156)),AZ156+AZ117,"")</f>
        <v>-40</v>
      </c>
      <c r="BA76" s="41" t="str">
        <f>+IF(NOT(ISBLANK(BA156)),BA156+BA117,"")</f>
        <v/>
      </c>
      <c r="BB76" s="41">
        <f>+IF(NOT(ISBLANK(BB156)),BB156+BB117,"")</f>
        <v>8</v>
      </c>
      <c r="BC76" s="41" t="str">
        <f>+IF(NOT(ISBLANK(BC156)),BC156+BC117,"")</f>
        <v/>
      </c>
      <c r="BD76" s="41" t="str">
        <f>+IF(NOT(ISBLANK(BD156)),BD156+BD117,"")</f>
        <v/>
      </c>
      <c r="BE76" s="41" t="str">
        <f>+IF(NOT(ISBLANK(BE156)),BE156+BE117,"")</f>
        <v/>
      </c>
      <c r="BF76" s="41" t="str">
        <f>+IF(NOT(ISBLANK(BF156)),BF156+BF117,"")</f>
        <v/>
      </c>
      <c r="BG76" s="41" t="str">
        <f>+IF(NOT(ISBLANK(BG156)),BG156+BG117,"")</f>
        <v/>
      </c>
      <c r="BH76" s="41">
        <f>+IF(NOT(ISBLANK(BH156)),BH156+BH117,"")</f>
        <v>-20</v>
      </c>
      <c r="BI76" s="41" t="str">
        <f>+IF(NOT(ISBLANK(BI156)),BI156+BI117,"")</f>
        <v/>
      </c>
      <c r="BJ76" s="41">
        <f>+IF(NOT(ISBLANK(BJ156)),BJ156+BJ117,"")</f>
        <v>120</v>
      </c>
      <c r="BK76" s="41" t="str">
        <f>+IF(NOT(ISBLANK(BK156)),BK156+BK117,"")</f>
        <v/>
      </c>
      <c r="BL76" s="41">
        <f>+IF(NOT(ISBLANK(BL156)),BL156+BL117,"")</f>
        <v>-20</v>
      </c>
      <c r="BM76" s="41" t="str">
        <f>+IF(NOT(ISBLANK(BM156)),BM156+BM117,"")</f>
        <v/>
      </c>
      <c r="BN76" s="41" t="str">
        <f>+IF(NOT(ISBLANK(BN156)),BN156+BN117,"")</f>
        <v/>
      </c>
      <c r="BO76" s="41" t="str">
        <f>+IF(NOT(ISBLANK(BO156)),BO156+BO117,"")</f>
        <v/>
      </c>
      <c r="BP76" s="41">
        <f>+IF(NOT(ISBLANK(BP156)),BP156+BP117,"")</f>
        <v>236</v>
      </c>
      <c r="BQ76" s="41" t="str">
        <f>+IF(NOT(ISBLANK(BQ156)),BQ156+BQ117,"")</f>
        <v/>
      </c>
      <c r="BR76" s="41" t="str">
        <f>+IF(NOT(ISBLANK(BR156)),BR156+BR117,"")</f>
        <v/>
      </c>
      <c r="BS76" s="41">
        <f>+IF(NOT(ISBLANK(BS156)),BS156+BS117,"")</f>
        <v>44.870000000000005</v>
      </c>
      <c r="BT76" s="41">
        <f>+IF(NOT(ISBLANK(BT156)),BT156+BT117,"")</f>
        <v>0</v>
      </c>
      <c r="BU76" s="41">
        <f>+IF(NOT(ISBLANK(BU156)),BU156+BU117,"")</f>
        <v>-20</v>
      </c>
      <c r="BV76" s="41">
        <f>+IF(NOT(ISBLANK(BV156)),BV156+BV117,"")</f>
        <v>-40</v>
      </c>
      <c r="BW76" s="41" t="str">
        <f>+IF(NOT(ISBLANK(BW156)),BW156+BW117,"")</f>
        <v/>
      </c>
      <c r="BX76" s="41">
        <f>+IF(NOT(ISBLANK(BX156)),BX156+BX117,"")</f>
        <v>-90</v>
      </c>
      <c r="BY76" s="41">
        <f>+IF(NOT(ISBLANK(BY156)),BY156+BY117,"")</f>
        <v>-25</v>
      </c>
      <c r="BZ76" s="41" t="str">
        <f>+IF(NOT(ISBLANK(BZ156)),BZ156+BZ117,"")</f>
        <v/>
      </c>
      <c r="CA76" s="41">
        <f>+IF(NOT(ISBLANK(CA156)),CA156+CA117,"")</f>
        <v>-20</v>
      </c>
      <c r="CB76" s="41" t="str">
        <f>+IF(NOT(ISBLANK(CB156)),CB156+CB117,"")</f>
        <v/>
      </c>
      <c r="CC76" s="41" t="str">
        <f>+IF(NOT(ISBLANK(CC156)),CC156+CC117,"")</f>
        <v/>
      </c>
      <c r="CD76" s="41" t="str">
        <f>+IF(NOT(ISBLANK(CD156)),CD156+CD117,"")</f>
        <v/>
      </c>
      <c r="CE76" s="41" t="str">
        <f>+IF(NOT(ISBLANK(CE156)),CE156+CE117,"")</f>
        <v/>
      </c>
      <c r="CF76" s="41">
        <f>+IF(NOT(ISBLANK(CF156)),CF156+CF117,"")</f>
        <v>-25</v>
      </c>
      <c r="CG76" s="41" t="str">
        <f>+IF(NOT(ISBLANK(CG156)),CG156+CG117,"")</f>
        <v/>
      </c>
      <c r="CH76" s="41">
        <f>+IF(NOT(ISBLANK(CH156)),CH156+CH117,"")</f>
        <v>18</v>
      </c>
      <c r="CI76" s="41">
        <f>+IF(NOT(ISBLANK(CI156)),CI156+CI117,"")</f>
        <v>150</v>
      </c>
      <c r="CJ76" s="41" t="str">
        <f>+IF(NOT(ISBLANK(CJ156)),CJ156+CJ117,"")</f>
        <v/>
      </c>
      <c r="CK76" s="41" t="str">
        <f>+IF(NOT(ISBLANK(CK156)),CK156+CK117,"")</f>
        <v/>
      </c>
      <c r="CL76" s="41">
        <f>+IF(NOT(ISBLANK(CL156)),CL156+CL117,"")</f>
        <v>-90</v>
      </c>
      <c r="CM76" s="41" t="str">
        <f>+IF(NOT(ISBLANK(CM156)),CM156+CM117,"")</f>
        <v/>
      </c>
      <c r="CN76" s="41" t="str">
        <f>+IF(NOT(ISBLANK(CN156)),CN156+CN117,"")</f>
        <v/>
      </c>
      <c r="CO76" s="42"/>
      <c r="CP76" s="29">
        <f>+IF(NOT(ISBLANK(CP156)),CP156+CP117,"")</f>
        <v>221.86999999999989</v>
      </c>
      <c r="CQ76" s="41"/>
      <c r="CR76" s="30">
        <f>+CP117/-CP156-1</f>
        <v>0.22076616915422864</v>
      </c>
      <c r="CS76" s="31">
        <f>+COUNT(D76:CO76)</f>
        <v>34</v>
      </c>
      <c r="CT76" s="31">
        <f>+COUNTIF(D117:CO117,"&gt;0")</f>
        <v>11</v>
      </c>
      <c r="CU76" s="30">
        <f>+CT76/CS76</f>
        <v>0.3235294117647059</v>
      </c>
      <c r="CV76" s="30">
        <f>+SUMIF($D117:$CO117,"&gt;0",$D117:$CO117)/-SUMIF($D156:$CO156,"&lt;0",$D$186:$CO$186)</f>
        <v>0.20882893617021275</v>
      </c>
      <c r="CW76" s="30">
        <f>+SUMIF($D156:$CO156,"&lt;0",$D156:$CO156)/SUMIF($D156:$CO156,"&lt;0",$D$186:$CO$186)</f>
        <v>0.17106382978723406</v>
      </c>
      <c r="CX76" s="32">
        <f>+CP76/CS76</f>
        <v>6.5255882352941148</v>
      </c>
    </row>
    <row r="77" spans="2:102" ht="12.75" hidden="1" customHeight="1" outlineLevel="1" x14ac:dyDescent="0.2">
      <c r="B77" s="33"/>
      <c r="C77" s="33" t="str">
        <f>+C118</f>
        <v>Lalli Nurmi</v>
      </c>
      <c r="D77" s="34" t="str">
        <f>+IF(NOT(ISBLANK(D157)),D157+D118,"")</f>
        <v/>
      </c>
      <c r="E77" s="34" t="str">
        <f>+IF(NOT(ISBLANK(E157)),E157+E118,"")</f>
        <v/>
      </c>
      <c r="F77" s="34" t="str">
        <f>+IF(NOT(ISBLANK(F157)),F157+F118,"")</f>
        <v/>
      </c>
      <c r="G77" s="34" t="str">
        <f>+IF(NOT(ISBLANK(G157)),G157+G118,"")</f>
        <v/>
      </c>
      <c r="H77" s="34" t="str">
        <f>+IF(NOT(ISBLANK(H157)),H157+H118,"")</f>
        <v/>
      </c>
      <c r="I77" s="34" t="str">
        <f>+IF(NOT(ISBLANK(I157)),I157+I118,"")</f>
        <v/>
      </c>
      <c r="J77" s="34" t="str">
        <f>+IF(NOT(ISBLANK(J157)),J157+J118,"")</f>
        <v/>
      </c>
      <c r="K77" s="34">
        <f>+IF(NOT(ISBLANK(K157)),K157+K118,"")</f>
        <v>-15</v>
      </c>
      <c r="L77" s="34" t="str">
        <f>+IF(NOT(ISBLANK(L157)),L157+L118,"")</f>
        <v/>
      </c>
      <c r="M77" s="34" t="str">
        <f>+IF(NOT(ISBLANK(M157)),M157+M118,"")</f>
        <v/>
      </c>
      <c r="N77" s="34" t="str">
        <f>+IF(NOT(ISBLANK(N157)),N157+N118,"")</f>
        <v/>
      </c>
      <c r="O77" s="34" t="str">
        <f>+IF(NOT(ISBLANK(O157)),O157+O118,"")</f>
        <v/>
      </c>
      <c r="P77" s="34" t="str">
        <f>+IF(NOT(ISBLANK(P157)),P157+P118,"")</f>
        <v/>
      </c>
      <c r="Q77" s="34" t="str">
        <f>+IF(NOT(ISBLANK(Q157)),Q157+Q118,"")</f>
        <v/>
      </c>
      <c r="R77" s="34" t="str">
        <f>+IF(NOT(ISBLANK(R157)),R157+R118,"")</f>
        <v/>
      </c>
      <c r="S77" s="34" t="str">
        <f>+IF(NOT(ISBLANK(S157)),S157+S118,"")</f>
        <v/>
      </c>
      <c r="T77" s="34" t="str">
        <f>+IF(NOT(ISBLANK(T157)),T157+T118,"")</f>
        <v/>
      </c>
      <c r="U77" s="34" t="str">
        <f>+IF(NOT(ISBLANK(U157)),U157+U118,"")</f>
        <v/>
      </c>
      <c r="V77" s="34" t="str">
        <f>+IF(NOT(ISBLANK(V157)),V157+V118,"")</f>
        <v/>
      </c>
      <c r="W77" s="34">
        <f>+IF(NOT(ISBLANK(W157)),W157+W118,"")</f>
        <v>-15</v>
      </c>
      <c r="X77" s="34" t="str">
        <f>+IF(NOT(ISBLANK(X157)),X157+X118,"")</f>
        <v/>
      </c>
      <c r="Y77" s="34" t="str">
        <f>+IF(NOT(ISBLANK(Y157)),Y157+Y118,"")</f>
        <v/>
      </c>
      <c r="Z77" s="34" t="str">
        <f>+IF(NOT(ISBLANK(Z157)),Z157+Z118,"")</f>
        <v/>
      </c>
      <c r="AA77" s="34">
        <f>+IF(NOT(ISBLANK(AA157)),AA157+AA118,"")</f>
        <v>85</v>
      </c>
      <c r="AB77" s="34">
        <f>+IF(NOT(ISBLANK(AB157)),AB157+AB118,"")</f>
        <v>-30</v>
      </c>
      <c r="AC77" s="34">
        <f>+IF(NOT(ISBLANK(AC157)),AC157+AC118,"")</f>
        <v>-15</v>
      </c>
      <c r="AD77" s="34">
        <f>+IF(NOT(ISBLANK(AD157)),AD157+AD118,"")</f>
        <v>-15</v>
      </c>
      <c r="AE77" s="34" t="str">
        <f>+IF(NOT(ISBLANK(AE157)),AE157+AE118,"")</f>
        <v/>
      </c>
      <c r="AF77" s="34">
        <f>+IF(NOT(ISBLANK(AF157)),AF157+AF118,"")</f>
        <v>-30</v>
      </c>
      <c r="AG77" s="34" t="str">
        <f>+IF(NOT(ISBLANK(AG157)),AG157+AG118,"")</f>
        <v/>
      </c>
      <c r="AH77" s="34">
        <f>+IF(NOT(ISBLANK(AH157)),AH157+AH118,"")</f>
        <v>75</v>
      </c>
      <c r="AI77" s="34" t="str">
        <f>+IF(NOT(ISBLANK(AI157)),AI157+AI118,"")</f>
        <v/>
      </c>
      <c r="AJ77" s="34">
        <f>+IF(NOT(ISBLANK(AJ157)),AJ157+AJ118,"")</f>
        <v>120</v>
      </c>
      <c r="AK77" s="34">
        <f>+IF(NOT(ISBLANK(AK157)),AK157+AK118,"")</f>
        <v>-10</v>
      </c>
      <c r="AL77" s="34">
        <f>+IF(NOT(ISBLANK(AL157)),AL157+AL118,"")</f>
        <v>-15</v>
      </c>
      <c r="AM77" s="34">
        <f>+IF(NOT(ISBLANK(AM157)),AM157+AM118,"")</f>
        <v>-15</v>
      </c>
      <c r="AN77" s="34" t="str">
        <f>+IF(NOT(ISBLANK(AN157)),AN157+AN118,"")</f>
        <v/>
      </c>
      <c r="AO77" s="34" t="str">
        <f>+IF(NOT(ISBLANK(AO157)),AO157+AO118,"")</f>
        <v/>
      </c>
      <c r="AP77" s="34" t="str">
        <f>+IF(NOT(ISBLANK(AP157)),AP157+AP118,"")</f>
        <v/>
      </c>
      <c r="AQ77" s="34">
        <f>+IF(NOT(ISBLANK(AQ157)),AQ157+AQ118,"")</f>
        <v>90</v>
      </c>
      <c r="AR77" s="34">
        <f>+IF(NOT(ISBLANK(AR157)),AR157+AR118,"")</f>
        <v>45</v>
      </c>
      <c r="AS77" s="34" t="str">
        <f>+IF(NOT(ISBLANK(AS157)),AS157+AS118,"")</f>
        <v/>
      </c>
      <c r="AT77" s="34" t="str">
        <f>+IF(NOT(ISBLANK(AT157)),AT157+AT118,"")</f>
        <v/>
      </c>
      <c r="AU77" s="34" t="str">
        <f>+IF(NOT(ISBLANK(AU157)),AU157+AU118,"")</f>
        <v/>
      </c>
      <c r="AV77" s="34" t="str">
        <f>+IF(NOT(ISBLANK(AV157)),AV157+AV118,"")</f>
        <v/>
      </c>
      <c r="AW77" s="34">
        <f>+IF(NOT(ISBLANK(AW157)),AW157+AW118,"")</f>
        <v>141</v>
      </c>
      <c r="AX77" s="34" t="str">
        <f>+IF(NOT(ISBLANK(AX157)),AX157+AX118,"")</f>
        <v/>
      </c>
      <c r="AY77" s="34" t="str">
        <f>+IF(NOT(ISBLANK(AY157)),AY157+AY118,"")</f>
        <v/>
      </c>
      <c r="AZ77" s="34" t="str">
        <f>+IF(NOT(ISBLANK(AZ157)),AZ157+AZ118,"")</f>
        <v/>
      </c>
      <c r="BA77" s="34">
        <f>+IF(NOT(ISBLANK(BA157)),BA157+BA118,"")</f>
        <v>-40</v>
      </c>
      <c r="BB77" s="34" t="str">
        <f>+IF(NOT(ISBLANK(BB157)),BB157+BB118,"")</f>
        <v/>
      </c>
      <c r="BC77" s="34" t="str">
        <f>+IF(NOT(ISBLANK(BC157)),BC157+BC118,"")</f>
        <v/>
      </c>
      <c r="BD77" s="34" t="str">
        <f>+IF(NOT(ISBLANK(BD157)),BD157+BD118,"")</f>
        <v/>
      </c>
      <c r="BE77" s="34">
        <f>+IF(NOT(ISBLANK(BE157)),BE157+BE118,"")</f>
        <v>-10</v>
      </c>
      <c r="BF77" s="34">
        <f>+IF(NOT(ISBLANK(BF157)),BF157+BF118,"")</f>
        <v>50</v>
      </c>
      <c r="BG77" s="34" t="str">
        <f>+IF(NOT(ISBLANK(BG157)),BG157+BG118,"")</f>
        <v/>
      </c>
      <c r="BH77" s="34">
        <f>+IF(NOT(ISBLANK(BH157)),BH157+BH118,"")</f>
        <v>180</v>
      </c>
      <c r="BI77" s="34">
        <f>+IF(NOT(ISBLANK(BI157)),BI157+BI118,"")</f>
        <v>-20</v>
      </c>
      <c r="BJ77" s="34" t="str">
        <f>+IF(NOT(ISBLANK(BJ157)),BJ157+BJ118,"")</f>
        <v/>
      </c>
      <c r="BK77" s="34">
        <f>+IF(NOT(ISBLANK(BK157)),BK157+BK118,"")</f>
        <v>-20</v>
      </c>
      <c r="BL77" s="34" t="str">
        <f>+IF(NOT(ISBLANK(BL157)),BL157+BL118,"")</f>
        <v/>
      </c>
      <c r="BM77" s="34">
        <f>+IF(NOT(ISBLANK(BM157)),BM157+BM118,"")</f>
        <v>120</v>
      </c>
      <c r="BN77" s="34" t="str">
        <f>+IF(NOT(ISBLANK(BN157)),BN157+BN118,"")</f>
        <v/>
      </c>
      <c r="BO77" s="34">
        <f>+IF(NOT(ISBLANK(BO157)),BO157+BO118,"")</f>
        <v>-20</v>
      </c>
      <c r="BP77" s="34" t="str">
        <f>+IF(NOT(ISBLANK(BP157)),BP157+BP118,"")</f>
        <v/>
      </c>
      <c r="BQ77" s="34">
        <f>+IF(NOT(ISBLANK(BQ157)),BQ157+BQ118,"")</f>
        <v>-20</v>
      </c>
      <c r="BR77" s="34" t="str">
        <f>+IF(NOT(ISBLANK(BR157)),BR157+BR118,"")</f>
        <v/>
      </c>
      <c r="BS77" s="34" t="str">
        <f>+IF(NOT(ISBLANK(BS157)),BS157+BS118,"")</f>
        <v/>
      </c>
      <c r="BT77" s="34" t="str">
        <f>+IF(NOT(ISBLANK(BT157)),BT157+BT118,"")</f>
        <v/>
      </c>
      <c r="BU77" s="34" t="str">
        <f>+IF(NOT(ISBLANK(BU157)),BU157+BU118,"")</f>
        <v/>
      </c>
      <c r="BV77" s="34" t="str">
        <f>+IF(NOT(ISBLANK(BV157)),BV157+BV118,"")</f>
        <v/>
      </c>
      <c r="BW77" s="34">
        <f>+IF(NOT(ISBLANK(BW157)),BW157+BW118,"")</f>
        <v>-40</v>
      </c>
      <c r="BX77" s="34">
        <f>+IF(NOT(ISBLANK(BX157)),BX157+BX118,"")</f>
        <v>-30</v>
      </c>
      <c r="BY77" s="34">
        <f>+IF(NOT(ISBLANK(BY157)),BY157+BY118,"")</f>
        <v>195</v>
      </c>
      <c r="BZ77" s="34" t="str">
        <f>+IF(NOT(ISBLANK(BZ157)),BZ157+BZ118,"")</f>
        <v/>
      </c>
      <c r="CA77" s="34" t="str">
        <f>+IF(NOT(ISBLANK(CA157)),CA157+CA118,"")</f>
        <v/>
      </c>
      <c r="CB77" s="34" t="str">
        <f>+IF(NOT(ISBLANK(CB157)),CB157+CB118,"")</f>
        <v/>
      </c>
      <c r="CC77" s="34">
        <f>+IF(NOT(ISBLANK(CC157)),CC157+CC118,"")</f>
        <v>-40</v>
      </c>
      <c r="CD77" s="34" t="str">
        <f>+IF(NOT(ISBLANK(CD157)),CD157+CD118,"")</f>
        <v/>
      </c>
      <c r="CE77" s="34" t="str">
        <f>+IF(NOT(ISBLANK(CE157)),CE157+CE118,"")</f>
        <v/>
      </c>
      <c r="CF77" s="34">
        <f>+IF(NOT(ISBLANK(CF157)),CF157+CF118,"")</f>
        <v>150</v>
      </c>
      <c r="CG77" s="34" t="str">
        <f>+IF(NOT(ISBLANK(CG157)),CG157+CG118,"")</f>
        <v/>
      </c>
      <c r="CH77" s="34" t="str">
        <f>+IF(NOT(ISBLANK(CH157)),CH157+CH118,"")</f>
        <v/>
      </c>
      <c r="CI77" s="34" t="str">
        <f>+IF(NOT(ISBLANK(CI157)),CI157+CI118,"")</f>
        <v/>
      </c>
      <c r="CJ77" s="34">
        <f>+IF(NOT(ISBLANK(CJ157)),CJ157+CJ118,"")</f>
        <v>-20</v>
      </c>
      <c r="CK77" s="34">
        <f>+IF(NOT(ISBLANK(CK157)),CK157+CK118,"")</f>
        <v>181.25</v>
      </c>
      <c r="CL77" s="34" t="str">
        <f>+IF(NOT(ISBLANK(CL157)),CL157+CL118,"")</f>
        <v/>
      </c>
      <c r="CM77" s="34" t="str">
        <f>+IF(NOT(ISBLANK(CM157)),CM157+CM118,"")</f>
        <v/>
      </c>
      <c r="CN77" s="34" t="str">
        <f>+IF(NOT(ISBLANK(CN157)),CN157+CN118,"")</f>
        <v/>
      </c>
      <c r="CO77" s="35"/>
      <c r="CP77" s="36">
        <f>+IF(NOT(ISBLANK(CP157)),CP157+CP118,"")</f>
        <v>1012.25</v>
      </c>
      <c r="CQ77" s="34"/>
      <c r="CR77" s="37">
        <f>+CP118/-CP157-1</f>
        <v>1.4886029411764707</v>
      </c>
      <c r="CS77" s="38">
        <f>+COUNT(D77:CO77)</f>
        <v>31</v>
      </c>
      <c r="CT77" s="38">
        <f>+COUNTIF(D118:CO118,"&gt;0")</f>
        <v>12</v>
      </c>
      <c r="CU77" s="37">
        <f t="shared" ref="CU77:CU83" si="155">+CT77/CS77</f>
        <v>0.38709677419354838</v>
      </c>
      <c r="CV77" s="37">
        <f>+SUMIF($D118:$CO118,"&gt;0",$D118:$CO118)/-SUMIF($D157:$CO157,"&lt;0",$D$186:$CO$186)</f>
        <v>0.40436081242532856</v>
      </c>
      <c r="CW77" s="37">
        <f>+SUMIF($D157:$CO157,"&lt;0",$D157:$CO157)/SUMIF($D157:$CO157,"&lt;0",$D$186:$CO$186)</f>
        <v>0.16248506571087215</v>
      </c>
      <c r="CX77" s="39">
        <f t="shared" si="154"/>
        <v>32.653225806451616</v>
      </c>
    </row>
    <row r="78" spans="2:102" ht="12.75" hidden="1" customHeight="1" outlineLevel="1" x14ac:dyDescent="0.2">
      <c r="B78" s="40"/>
      <c r="C78" s="40" t="str">
        <f>+C119</f>
        <v>Valtteri Kämäräinen</v>
      </c>
      <c r="D78" s="41" t="str">
        <f>+IF(NOT(ISBLANK(D158)),D158+D119,"")</f>
        <v/>
      </c>
      <c r="E78" s="41" t="str">
        <f>+IF(NOT(ISBLANK(E158)),E158+E119,"")</f>
        <v/>
      </c>
      <c r="F78" s="41" t="str">
        <f>+IF(NOT(ISBLANK(F158)),F158+F119,"")</f>
        <v/>
      </c>
      <c r="G78" s="41" t="str">
        <f>+IF(NOT(ISBLANK(G158)),G158+G119,"")</f>
        <v/>
      </c>
      <c r="H78" s="41">
        <f>+IF(NOT(ISBLANK(H158)),H158+H119,"")</f>
        <v>-15</v>
      </c>
      <c r="I78" s="41" t="str">
        <f>+IF(NOT(ISBLANK(I158)),I158+I119,"")</f>
        <v/>
      </c>
      <c r="J78" s="41" t="str">
        <f>+IF(NOT(ISBLANK(J158)),J158+J119,"")</f>
        <v/>
      </c>
      <c r="K78" s="41" t="str">
        <f>+IF(NOT(ISBLANK(K158)),K158+K119,"")</f>
        <v/>
      </c>
      <c r="L78" s="41" t="str">
        <f>+IF(NOT(ISBLANK(L158)),L158+L119,"")</f>
        <v/>
      </c>
      <c r="M78" s="41" t="str">
        <f>+IF(NOT(ISBLANK(M158)),M158+M119,"")</f>
        <v/>
      </c>
      <c r="N78" s="41" t="str">
        <f>+IF(NOT(ISBLANK(N158)),N158+N119,"")</f>
        <v/>
      </c>
      <c r="O78" s="41" t="str">
        <f>+IF(NOT(ISBLANK(O158)),O158+O119,"")</f>
        <v/>
      </c>
      <c r="P78" s="41" t="str">
        <f>+IF(NOT(ISBLANK(P158)),P158+P119,"")</f>
        <v/>
      </c>
      <c r="Q78" s="41" t="str">
        <f>+IF(NOT(ISBLANK(Q158)),Q158+Q119,"")</f>
        <v/>
      </c>
      <c r="R78" s="41" t="str">
        <f>+IF(NOT(ISBLANK(R158)),R158+R119,"")</f>
        <v/>
      </c>
      <c r="S78" s="41" t="str">
        <f>+IF(NOT(ISBLANK(S158)),S158+S119,"")</f>
        <v/>
      </c>
      <c r="T78" s="41" t="str">
        <f>+IF(NOT(ISBLANK(T158)),T158+T119,"")</f>
        <v/>
      </c>
      <c r="U78" s="41" t="str">
        <f>+IF(NOT(ISBLANK(U158)),U158+U119,"")</f>
        <v/>
      </c>
      <c r="V78" s="41" t="str">
        <f>+IF(NOT(ISBLANK(V158)),V158+V119,"")</f>
        <v/>
      </c>
      <c r="W78" s="41" t="str">
        <f>+IF(NOT(ISBLANK(W158)),W158+W119,"")</f>
        <v/>
      </c>
      <c r="X78" s="41" t="str">
        <f>+IF(NOT(ISBLANK(X158)),X158+X119,"")</f>
        <v/>
      </c>
      <c r="Y78" s="41" t="str">
        <f>+IF(NOT(ISBLANK(Y158)),Y158+Y119,"")</f>
        <v/>
      </c>
      <c r="Z78" s="41" t="str">
        <f>+IF(NOT(ISBLANK(Z158)),Z158+Z119,"")</f>
        <v/>
      </c>
      <c r="AA78" s="41" t="str">
        <f>+IF(NOT(ISBLANK(AA158)),AA158+AA119,"")</f>
        <v/>
      </c>
      <c r="AB78" s="41" t="str">
        <f>+IF(NOT(ISBLANK(AB158)),AB158+AB119,"")</f>
        <v/>
      </c>
      <c r="AC78" s="41" t="str">
        <f>+IF(NOT(ISBLANK(AC158)),AC158+AC119,"")</f>
        <v/>
      </c>
      <c r="AD78" s="41" t="str">
        <f>+IF(NOT(ISBLANK(AD158)),AD158+AD119,"")</f>
        <v/>
      </c>
      <c r="AE78" s="41" t="str">
        <f>+IF(NOT(ISBLANK(AE158)),AE158+AE119,"")</f>
        <v/>
      </c>
      <c r="AF78" s="41" t="str">
        <f>+IF(NOT(ISBLANK(AF158)),AF158+AF119,"")</f>
        <v/>
      </c>
      <c r="AG78" s="41" t="str">
        <f>+IF(NOT(ISBLANK(AG158)),AG158+AG119,"")</f>
        <v/>
      </c>
      <c r="AH78" s="41" t="str">
        <f>+IF(NOT(ISBLANK(AH158)),AH158+AH119,"")</f>
        <v/>
      </c>
      <c r="AI78" s="41" t="str">
        <f>+IF(NOT(ISBLANK(AI158)),AI158+AI119,"")</f>
        <v/>
      </c>
      <c r="AJ78" s="41" t="str">
        <f>+IF(NOT(ISBLANK(AJ158)),AJ158+AJ119,"")</f>
        <v/>
      </c>
      <c r="AK78" s="41" t="str">
        <f>+IF(NOT(ISBLANK(AK158)),AK158+AK119,"")</f>
        <v/>
      </c>
      <c r="AL78" s="41" t="str">
        <f>+IF(NOT(ISBLANK(AL158)),AL158+AL119,"")</f>
        <v/>
      </c>
      <c r="AM78" s="41" t="str">
        <f>+IF(NOT(ISBLANK(AM158)),AM158+AM119,"")</f>
        <v/>
      </c>
      <c r="AN78" s="41" t="str">
        <f>+IF(NOT(ISBLANK(AN158)),AN158+AN119,"")</f>
        <v/>
      </c>
      <c r="AO78" s="41" t="str">
        <f>+IF(NOT(ISBLANK(AO158)),AO158+AO119,"")</f>
        <v/>
      </c>
      <c r="AP78" s="41" t="str">
        <f>+IF(NOT(ISBLANK(AP158)),AP158+AP119,"")</f>
        <v/>
      </c>
      <c r="AQ78" s="41" t="str">
        <f>+IF(NOT(ISBLANK(AQ158)),AQ158+AQ119,"")</f>
        <v/>
      </c>
      <c r="AR78" s="41" t="str">
        <f>+IF(NOT(ISBLANK(AR158)),AR158+AR119,"")</f>
        <v/>
      </c>
      <c r="AS78" s="41" t="str">
        <f>+IF(NOT(ISBLANK(AS158)),AS158+AS119,"")</f>
        <v/>
      </c>
      <c r="AT78" s="41" t="str">
        <f>+IF(NOT(ISBLANK(AT158)),AT158+AT119,"")</f>
        <v/>
      </c>
      <c r="AU78" s="41" t="str">
        <f>+IF(NOT(ISBLANK(AU158)),AU158+AU119,"")</f>
        <v/>
      </c>
      <c r="AV78" s="41">
        <f>+IF(NOT(ISBLANK(AV158)),AV158+AV119,"")</f>
        <v>-15</v>
      </c>
      <c r="AW78" s="41" t="str">
        <f>+IF(NOT(ISBLANK(AW158)),AW158+AW119,"")</f>
        <v/>
      </c>
      <c r="AX78" s="41" t="str">
        <f>+IF(NOT(ISBLANK(AX158)),AX158+AX119,"")</f>
        <v/>
      </c>
      <c r="AY78" s="41" t="str">
        <f>+IF(NOT(ISBLANK(AY158)),AY158+AY119,"")</f>
        <v/>
      </c>
      <c r="AZ78" s="41">
        <f>+IF(NOT(ISBLANK(AZ158)),AZ158+AZ119,"")</f>
        <v>200</v>
      </c>
      <c r="BA78" s="41" t="str">
        <f>+IF(NOT(ISBLANK(BA158)),BA158+BA119,"")</f>
        <v/>
      </c>
      <c r="BB78" s="41" t="str">
        <f>+IF(NOT(ISBLANK(BB158)),BB158+BB119,"")</f>
        <v/>
      </c>
      <c r="BC78" s="41">
        <f>+IF(NOT(ISBLANK(BC158)),BC158+BC119,"")</f>
        <v>-40</v>
      </c>
      <c r="BD78" s="41" t="str">
        <f>+IF(NOT(ISBLANK(BD158)),BD158+BD119,"")</f>
        <v/>
      </c>
      <c r="BE78" s="41" t="str">
        <f>+IF(NOT(ISBLANK(BE158)),BE158+BE119,"")</f>
        <v/>
      </c>
      <c r="BF78" s="41" t="str">
        <f>+IF(NOT(ISBLANK(BF158)),BF158+BF119,"")</f>
        <v/>
      </c>
      <c r="BG78" s="41" t="str">
        <f>+IF(NOT(ISBLANK(BG158)),BG158+BG119,"")</f>
        <v/>
      </c>
      <c r="BH78" s="41" t="str">
        <f>+IF(NOT(ISBLANK(BH158)),BH158+BH119,"")</f>
        <v/>
      </c>
      <c r="BI78" s="41" t="str">
        <f>+IF(NOT(ISBLANK(BI158)),BI158+BI119,"")</f>
        <v/>
      </c>
      <c r="BJ78" s="41" t="str">
        <f>+IF(NOT(ISBLANK(BJ158)),BJ158+BJ119,"")</f>
        <v/>
      </c>
      <c r="BK78" s="41" t="str">
        <f>+IF(NOT(ISBLANK(BK158)),BK158+BK119,"")</f>
        <v/>
      </c>
      <c r="BL78" s="41" t="str">
        <f>+IF(NOT(ISBLANK(BL158)),BL158+BL119,"")</f>
        <v/>
      </c>
      <c r="BM78" s="41" t="str">
        <f>+IF(NOT(ISBLANK(BM158)),BM158+BM119,"")</f>
        <v/>
      </c>
      <c r="BN78" s="41" t="str">
        <f>+IF(NOT(ISBLANK(BN158)),BN158+BN119,"")</f>
        <v/>
      </c>
      <c r="BO78" s="41" t="str">
        <f>+IF(NOT(ISBLANK(BO158)),BO158+BO119,"")</f>
        <v/>
      </c>
      <c r="BP78" s="41" t="str">
        <f>+IF(NOT(ISBLANK(BP158)),BP158+BP119,"")</f>
        <v/>
      </c>
      <c r="BQ78" s="41" t="str">
        <f>+IF(NOT(ISBLANK(BQ158)),BQ158+BQ119,"")</f>
        <v/>
      </c>
      <c r="BR78" s="41" t="str">
        <f>+IF(NOT(ISBLANK(BR158)),BR158+BR119,"")</f>
        <v/>
      </c>
      <c r="BS78" s="41" t="str">
        <f>+IF(NOT(ISBLANK(BS158)),BS158+BS119,"")</f>
        <v/>
      </c>
      <c r="BT78" s="41" t="str">
        <f>+IF(NOT(ISBLANK(BT158)),BT158+BT119,"")</f>
        <v/>
      </c>
      <c r="BU78" s="41" t="str">
        <f>+IF(NOT(ISBLANK(BU158)),BU158+BU119,"")</f>
        <v/>
      </c>
      <c r="BV78" s="41" t="str">
        <f>+IF(NOT(ISBLANK(BV158)),BV158+BV119,"")</f>
        <v/>
      </c>
      <c r="BW78" s="41" t="str">
        <f>+IF(NOT(ISBLANK(BW158)),BW158+BW119,"")</f>
        <v/>
      </c>
      <c r="BX78" s="41" t="str">
        <f>+IF(NOT(ISBLANK(BX158)),BX158+BX119,"")</f>
        <v/>
      </c>
      <c r="BY78" s="41" t="str">
        <f>+IF(NOT(ISBLANK(BY158)),BY158+BY119,"")</f>
        <v/>
      </c>
      <c r="BZ78" s="41" t="str">
        <f>+IF(NOT(ISBLANK(BZ158)),BZ158+BZ119,"")</f>
        <v/>
      </c>
      <c r="CA78" s="41" t="str">
        <f>+IF(NOT(ISBLANK(CA158)),CA158+CA119,"")</f>
        <v/>
      </c>
      <c r="CB78" s="41" t="str">
        <f>+IF(NOT(ISBLANK(CB158)),CB158+CB119,"")</f>
        <v/>
      </c>
      <c r="CC78" s="41">
        <f>+IF(NOT(ISBLANK(CC158)),CC158+CC119,"")</f>
        <v>-60</v>
      </c>
      <c r="CD78" s="41" t="str">
        <f>+IF(NOT(ISBLANK(CD158)),CD158+CD119,"")</f>
        <v/>
      </c>
      <c r="CE78" s="41">
        <f>+IF(NOT(ISBLANK(CE158)),CE158+CE119,"")</f>
        <v>-20</v>
      </c>
      <c r="CF78" s="41">
        <f>+IF(NOT(ISBLANK(CF158)),CF158+CF119,"")</f>
        <v>-25</v>
      </c>
      <c r="CG78" s="41" t="str">
        <f>+IF(NOT(ISBLANK(CG158)),CG158+CG119,"")</f>
        <v/>
      </c>
      <c r="CH78" s="41">
        <f>+IF(NOT(ISBLANK(CH158)),CH158+CH119,"")</f>
        <v>252</v>
      </c>
      <c r="CI78" s="41" t="str">
        <f>+IF(NOT(ISBLANK(CI158)),CI158+CI119,"")</f>
        <v/>
      </c>
      <c r="CJ78" s="41" t="str">
        <f>+IF(NOT(ISBLANK(CJ158)),CJ158+CJ119,"")</f>
        <v/>
      </c>
      <c r="CK78" s="41" t="str">
        <f>+IF(NOT(ISBLANK(CK158)),CK158+CK119,"")</f>
        <v/>
      </c>
      <c r="CL78" s="41">
        <f>+IF(NOT(ISBLANK(CL158)),CL158+CL119,"")</f>
        <v>30</v>
      </c>
      <c r="CM78" s="41" t="str">
        <f>+IF(NOT(ISBLANK(CM158)),CM158+CM119,"")</f>
        <v/>
      </c>
      <c r="CN78" s="41" t="str">
        <f>+IF(NOT(ISBLANK(CN158)),CN158+CN119,"")</f>
        <v/>
      </c>
      <c r="CO78" s="42"/>
      <c r="CP78" s="29">
        <f>+IF(NOT(ISBLANK(CP158)),CP158+CP119,"")</f>
        <v>307</v>
      </c>
      <c r="CQ78" s="41"/>
      <c r="CR78" s="30">
        <f>+CP119/-CP158-1</f>
        <v>1.0065573770491802</v>
      </c>
      <c r="CS78" s="31">
        <f>+COUNT(D78:CO78)</f>
        <v>9</v>
      </c>
      <c r="CT78" s="31">
        <f>+COUNTIF(D119:CO119,"&gt;0")</f>
        <v>3</v>
      </c>
      <c r="CU78" s="30">
        <f t="shared" si="155"/>
        <v>0.33333333333333331</v>
      </c>
      <c r="CV78" s="30">
        <f>+SUMIF($D119:$CO119,"&gt;0",$D119:$CO119)/-SUMIF($D158:$CO158,"&lt;0",$D$186:$CO$186)</f>
        <v>0.31627906976744186</v>
      </c>
      <c r="CW78" s="30">
        <f>+SUMIF($D158:$CO158,"&lt;0",$D158:$CO158)/SUMIF($D158:$CO158,"&lt;0",$D$186:$CO$186)</f>
        <v>0.15762273901808785</v>
      </c>
      <c r="CX78" s="32">
        <f t="shared" si="154"/>
        <v>34.111111111111114</v>
      </c>
    </row>
    <row r="79" spans="2:102" ht="12.75" hidden="1" customHeight="1" outlineLevel="1" x14ac:dyDescent="0.2">
      <c r="B79" s="33"/>
      <c r="C79" s="33" t="str">
        <f>+C120</f>
        <v>Kalle Armanto</v>
      </c>
      <c r="D79" s="34" t="str">
        <f>+IF(NOT(ISBLANK(D159)),D159+D120,"")</f>
        <v/>
      </c>
      <c r="E79" s="34">
        <f>+IF(NOT(ISBLANK(E159)),E159+E120,"")</f>
        <v>-10</v>
      </c>
      <c r="F79" s="34">
        <f>+IF(NOT(ISBLANK(F159)),F159+F120,"")</f>
        <v>-10</v>
      </c>
      <c r="G79" s="34" t="str">
        <f>+IF(NOT(ISBLANK(G159)),G159+G120,"")</f>
        <v/>
      </c>
      <c r="H79" s="34" t="str">
        <f>+IF(NOT(ISBLANK(H159)),H159+H120,"")</f>
        <v/>
      </c>
      <c r="I79" s="34" t="str">
        <f>+IF(NOT(ISBLANK(I159)),I159+I120,"")</f>
        <v/>
      </c>
      <c r="J79" s="34" t="str">
        <f>+IF(NOT(ISBLANK(J159)),J159+J120,"")</f>
        <v/>
      </c>
      <c r="K79" s="34" t="str">
        <f>+IF(NOT(ISBLANK(K159)),K159+K120,"")</f>
        <v/>
      </c>
      <c r="L79" s="34" t="str">
        <f>+IF(NOT(ISBLANK(L159)),L159+L120,"")</f>
        <v/>
      </c>
      <c r="M79" s="34" t="str">
        <f>+IF(NOT(ISBLANK(M159)),M159+M120,"")</f>
        <v/>
      </c>
      <c r="N79" s="34" t="str">
        <f>+IF(NOT(ISBLANK(N159)),N159+N120,"")</f>
        <v/>
      </c>
      <c r="O79" s="34" t="str">
        <f>+IF(NOT(ISBLANK(O159)),O159+O120,"")</f>
        <v/>
      </c>
      <c r="P79" s="34" t="str">
        <f>+IF(NOT(ISBLANK(P159)),P159+P120,"")</f>
        <v/>
      </c>
      <c r="Q79" s="34">
        <f>+IF(NOT(ISBLANK(Q159)),Q159+Q120,"")</f>
        <v>-15</v>
      </c>
      <c r="R79" s="34" t="str">
        <f>+IF(NOT(ISBLANK(R159)),R159+R120,"")</f>
        <v/>
      </c>
      <c r="S79" s="34" t="str">
        <f>+IF(NOT(ISBLANK(S159)),S159+S120,"")</f>
        <v/>
      </c>
      <c r="T79" s="34" t="str">
        <f>+IF(NOT(ISBLANK(T159)),T159+T120,"")</f>
        <v/>
      </c>
      <c r="U79" s="34" t="str">
        <f>+IF(NOT(ISBLANK(U159)),U159+U120,"")</f>
        <v/>
      </c>
      <c r="V79" s="34" t="str">
        <f>+IF(NOT(ISBLANK(V159)),V159+V120,"")</f>
        <v/>
      </c>
      <c r="W79" s="34" t="str">
        <f>+IF(NOT(ISBLANK(W159)),W159+W120,"")</f>
        <v/>
      </c>
      <c r="X79" s="34" t="str">
        <f>+IF(NOT(ISBLANK(X159)),X159+X120,"")</f>
        <v/>
      </c>
      <c r="Y79" s="34" t="str">
        <f>+IF(NOT(ISBLANK(Y159)),Y159+Y120,"")</f>
        <v/>
      </c>
      <c r="Z79" s="34" t="str">
        <f>+IF(NOT(ISBLANK(Z159)),Z159+Z120,"")</f>
        <v/>
      </c>
      <c r="AA79" s="34" t="str">
        <f>+IF(NOT(ISBLANK(AA159)),AA159+AA120,"")</f>
        <v/>
      </c>
      <c r="AB79" s="34" t="str">
        <f>+IF(NOT(ISBLANK(AB159)),AB159+AB120,"")</f>
        <v/>
      </c>
      <c r="AC79" s="34" t="str">
        <f>+IF(NOT(ISBLANK(AC159)),AC159+AC120,"")</f>
        <v/>
      </c>
      <c r="AD79" s="34" t="str">
        <f>+IF(NOT(ISBLANK(AD159)),AD159+AD120,"")</f>
        <v/>
      </c>
      <c r="AE79" s="34" t="str">
        <f>+IF(NOT(ISBLANK(AE159)),AE159+AE120,"")</f>
        <v/>
      </c>
      <c r="AF79" s="34" t="str">
        <f>+IF(NOT(ISBLANK(AF159)),AF159+AF120,"")</f>
        <v/>
      </c>
      <c r="AG79" s="34" t="str">
        <f>+IF(NOT(ISBLANK(AG159)),AG159+AG120,"")</f>
        <v/>
      </c>
      <c r="AH79" s="34" t="str">
        <f>+IF(NOT(ISBLANK(AH159)),AH159+AH120,"")</f>
        <v/>
      </c>
      <c r="AI79" s="34" t="str">
        <f>+IF(NOT(ISBLANK(AI159)),AI159+AI120,"")</f>
        <v/>
      </c>
      <c r="AJ79" s="34" t="str">
        <f>+IF(NOT(ISBLANK(AJ159)),AJ159+AJ120,"")</f>
        <v/>
      </c>
      <c r="AK79" s="34" t="str">
        <f>+IF(NOT(ISBLANK(AK159)),AK159+AK120,"")</f>
        <v/>
      </c>
      <c r="AL79" s="34" t="str">
        <f>+IF(NOT(ISBLANK(AL159)),AL159+AL120,"")</f>
        <v/>
      </c>
      <c r="AM79" s="34" t="str">
        <f>+IF(NOT(ISBLANK(AM159)),AM159+AM120,"")</f>
        <v/>
      </c>
      <c r="AN79" s="34" t="str">
        <f>+IF(NOT(ISBLANK(AN159)),AN159+AN120,"")</f>
        <v/>
      </c>
      <c r="AO79" s="34" t="str">
        <f>+IF(NOT(ISBLANK(AO159)),AO159+AO120,"")</f>
        <v/>
      </c>
      <c r="AP79" s="34" t="str">
        <f>+IF(NOT(ISBLANK(AP159)),AP159+AP120,"")</f>
        <v/>
      </c>
      <c r="AQ79" s="34" t="str">
        <f>+IF(NOT(ISBLANK(AQ159)),AQ159+AQ120,"")</f>
        <v/>
      </c>
      <c r="AR79" s="34" t="str">
        <f>+IF(NOT(ISBLANK(AR159)),AR159+AR120,"")</f>
        <v/>
      </c>
      <c r="AS79" s="34" t="str">
        <f>+IF(NOT(ISBLANK(AS159)),AS159+AS120,"")</f>
        <v/>
      </c>
      <c r="AT79" s="34" t="str">
        <f>+IF(NOT(ISBLANK(AT159)),AT159+AT120,"")</f>
        <v/>
      </c>
      <c r="AU79" s="34" t="str">
        <f>+IF(NOT(ISBLANK(AU159)),AU159+AU120,"")</f>
        <v/>
      </c>
      <c r="AV79" s="34" t="str">
        <f>+IF(NOT(ISBLANK(AV159)),AV159+AV120,"")</f>
        <v/>
      </c>
      <c r="AW79" s="34" t="str">
        <f>+IF(NOT(ISBLANK(AW159)),AW159+AW120,"")</f>
        <v/>
      </c>
      <c r="AX79" s="34" t="str">
        <f>+IF(NOT(ISBLANK(AX159)),AX159+AX120,"")</f>
        <v/>
      </c>
      <c r="AY79" s="34" t="str">
        <f>+IF(NOT(ISBLANK(AY159)),AY159+AY120,"")</f>
        <v/>
      </c>
      <c r="AZ79" s="34" t="str">
        <f>+IF(NOT(ISBLANK(AZ159)),AZ159+AZ120,"")</f>
        <v/>
      </c>
      <c r="BA79" s="34" t="str">
        <f>+IF(NOT(ISBLANK(BA159)),BA159+BA120,"")</f>
        <v/>
      </c>
      <c r="BB79" s="34" t="str">
        <f>+IF(NOT(ISBLANK(BB159)),BB159+BB120,"")</f>
        <v/>
      </c>
      <c r="BC79" s="34" t="str">
        <f>+IF(NOT(ISBLANK(BC159)),BC159+BC120,"")</f>
        <v/>
      </c>
      <c r="BD79" s="34" t="str">
        <f>+IF(NOT(ISBLANK(BD159)),BD159+BD120,"")</f>
        <v/>
      </c>
      <c r="BE79" s="34" t="str">
        <f>+IF(NOT(ISBLANK(BE159)),BE159+BE120,"")</f>
        <v/>
      </c>
      <c r="BF79" s="34" t="str">
        <f>+IF(NOT(ISBLANK(BF159)),BF159+BF120,"")</f>
        <v/>
      </c>
      <c r="BG79" s="34" t="str">
        <f>+IF(NOT(ISBLANK(BG159)),BG159+BG120,"")</f>
        <v/>
      </c>
      <c r="BH79" s="34" t="str">
        <f>+IF(NOT(ISBLANK(BH159)),BH159+BH120,"")</f>
        <v/>
      </c>
      <c r="BI79" s="34" t="str">
        <f>+IF(NOT(ISBLANK(BI159)),BI159+BI120,"")</f>
        <v/>
      </c>
      <c r="BJ79" s="34" t="str">
        <f>+IF(NOT(ISBLANK(BJ159)),BJ159+BJ120,"")</f>
        <v/>
      </c>
      <c r="BK79" s="34" t="str">
        <f>+IF(NOT(ISBLANK(BK159)),BK159+BK120,"")</f>
        <v/>
      </c>
      <c r="BL79" s="34" t="str">
        <f>+IF(NOT(ISBLANK(BL159)),BL159+BL120,"")</f>
        <v/>
      </c>
      <c r="BM79" s="34" t="str">
        <f>+IF(NOT(ISBLANK(BM159)),BM159+BM120,"")</f>
        <v/>
      </c>
      <c r="BN79" s="34" t="str">
        <f>+IF(NOT(ISBLANK(BN159)),BN159+BN120,"")</f>
        <v/>
      </c>
      <c r="BO79" s="34" t="str">
        <f>+IF(NOT(ISBLANK(BO159)),BO159+BO120,"")</f>
        <v/>
      </c>
      <c r="BP79" s="34">
        <f>+IF(NOT(ISBLANK(BP159)),BP159+BP120,"")</f>
        <v>29</v>
      </c>
      <c r="BQ79" s="34" t="str">
        <f>+IF(NOT(ISBLANK(BQ159)),BQ159+BQ120,"")</f>
        <v/>
      </c>
      <c r="BR79" s="34">
        <f>+IF(NOT(ISBLANK(BR159)),BR159+BR120,"")</f>
        <v>-40</v>
      </c>
      <c r="BS79" s="34">
        <f>+IF(NOT(ISBLANK(BS159)),BS159+BS120,"")</f>
        <v>75.13</v>
      </c>
      <c r="BT79" s="34" t="str">
        <f>+IF(NOT(ISBLANK(BT159)),BT159+BT120,"")</f>
        <v/>
      </c>
      <c r="BU79" s="34" t="str">
        <f>+IF(NOT(ISBLANK(BU159)),BU159+BU120,"")</f>
        <v/>
      </c>
      <c r="BV79" s="34">
        <f>+IF(NOT(ISBLANK(BV159)),BV159+BV120,"")</f>
        <v>-60</v>
      </c>
      <c r="BW79" s="34" t="str">
        <f>+IF(NOT(ISBLANK(BW159)),BW159+BW120,"")</f>
        <v/>
      </c>
      <c r="BX79" s="34" t="str">
        <f>+IF(NOT(ISBLANK(BX159)),BX159+BX120,"")</f>
        <v/>
      </c>
      <c r="BY79" s="34" t="str">
        <f>+IF(NOT(ISBLANK(BY159)),BY159+BY120,"")</f>
        <v/>
      </c>
      <c r="BZ79" s="34" t="str">
        <f>+IF(NOT(ISBLANK(BZ159)),BZ159+BZ120,"")</f>
        <v/>
      </c>
      <c r="CA79" s="34" t="str">
        <f>+IF(NOT(ISBLANK(CA159)),CA159+CA120,"")</f>
        <v/>
      </c>
      <c r="CB79" s="34">
        <f>+IF(NOT(ISBLANK(CB159)),CB159+CB120,"")</f>
        <v>180</v>
      </c>
      <c r="CC79" s="34" t="str">
        <f>+IF(NOT(ISBLANK(CC159)),CC159+CC120,"")</f>
        <v/>
      </c>
      <c r="CD79" s="34" t="str">
        <f>+IF(NOT(ISBLANK(CD159)),CD159+CD120,"")</f>
        <v/>
      </c>
      <c r="CE79" s="34" t="str">
        <f>+IF(NOT(ISBLANK(CE159)),CE159+CE120,"")</f>
        <v/>
      </c>
      <c r="CF79" s="34" t="str">
        <f>+IF(NOT(ISBLANK(CF159)),CF159+CF120,"")</f>
        <v/>
      </c>
      <c r="CG79" s="34" t="str">
        <f>+IF(NOT(ISBLANK(CG159)),CG159+CG120,"")</f>
        <v/>
      </c>
      <c r="CH79" s="34">
        <f>+IF(NOT(ISBLANK(CH159)),CH159+CH120,"")</f>
        <v>-30</v>
      </c>
      <c r="CI79" s="34" t="str">
        <f>+IF(NOT(ISBLANK(CI159)),CI159+CI120,"")</f>
        <v/>
      </c>
      <c r="CJ79" s="34" t="str">
        <f>+IF(NOT(ISBLANK(CJ159)),CJ159+CJ120,"")</f>
        <v/>
      </c>
      <c r="CK79" s="34">
        <f>+IF(NOT(ISBLANK(CK159)),CK159+CK120,"")</f>
        <v>-50</v>
      </c>
      <c r="CL79" s="34" t="str">
        <f>+IF(NOT(ISBLANK(CL159)),CL159+CL120,"")</f>
        <v/>
      </c>
      <c r="CM79" s="34" t="str">
        <f>+IF(NOT(ISBLANK(CM159)),CM159+CM120,"")</f>
        <v/>
      </c>
      <c r="CN79" s="34">
        <f>+IF(NOT(ISBLANK(CN159)),CN159+CN120,"")</f>
        <v>-30</v>
      </c>
      <c r="CO79" s="35"/>
      <c r="CP79" s="36">
        <f>+IF(NOT(ISBLANK(CP159)),CP159+CP120,"")</f>
        <v>39.129999999999995</v>
      </c>
      <c r="CQ79" s="34"/>
      <c r="CR79" s="37">
        <f>+CP120/-CP159-1</f>
        <v>0.10720547945205472</v>
      </c>
      <c r="CS79" s="38">
        <f>+COUNT(D79:CO79)</f>
        <v>11</v>
      </c>
      <c r="CT79" s="38">
        <f>+COUNTIF(D120:CO120,"&gt;0")</f>
        <v>3</v>
      </c>
      <c r="CU79" s="37">
        <f>+CT79/CS79</f>
        <v>0.27272727272727271</v>
      </c>
      <c r="CV79" s="37">
        <f>+SUMIF($D120:$CO120,"&gt;0",$D120:$CO120)/-SUMIF($D159:$CO159,"&lt;0",$D$186:$CO$186)</f>
        <v>0.15879371316306484</v>
      </c>
      <c r="CW79" s="37">
        <f>+SUMIF($D159:$CO159,"&lt;0",$D159:$CO159)/SUMIF($D159:$CO159,"&lt;0",$D$186:$CO$186)</f>
        <v>0.14341846758349705</v>
      </c>
      <c r="CX79" s="39">
        <f>+CP79/CS79</f>
        <v>3.5572727272727267</v>
      </c>
    </row>
    <row r="80" spans="2:102" ht="12.75" hidden="1" customHeight="1" outlineLevel="1" x14ac:dyDescent="0.2">
      <c r="B80" s="40"/>
      <c r="C80" s="40" t="str">
        <f>+C121</f>
        <v>Jonis Heikkinen</v>
      </c>
      <c r="D80" s="41" t="str">
        <f>+IF(NOT(ISBLANK(D160)),D160+D121,"")</f>
        <v/>
      </c>
      <c r="E80" s="41" t="str">
        <f>+IF(NOT(ISBLANK(E160)),E160+E121,"")</f>
        <v/>
      </c>
      <c r="F80" s="41">
        <f>+IF(NOT(ISBLANK(F160)),F160+F121,"")</f>
        <v>-10</v>
      </c>
      <c r="G80" s="41" t="str">
        <f>+IF(NOT(ISBLANK(G160)),G160+G121,"")</f>
        <v/>
      </c>
      <c r="H80" s="41" t="str">
        <f>+IF(NOT(ISBLANK(H160)),H160+H121,"")</f>
        <v/>
      </c>
      <c r="I80" s="41" t="str">
        <f>+IF(NOT(ISBLANK(I160)),I160+I121,"")</f>
        <v/>
      </c>
      <c r="J80" s="41" t="str">
        <f>+IF(NOT(ISBLANK(J160)),J160+J121,"")</f>
        <v/>
      </c>
      <c r="K80" s="41" t="str">
        <f>+IF(NOT(ISBLANK(K160)),K160+K121,"")</f>
        <v/>
      </c>
      <c r="L80" s="41" t="str">
        <f>+IF(NOT(ISBLANK(L160)),L160+L121,"")</f>
        <v/>
      </c>
      <c r="M80" s="41">
        <f>+IF(NOT(ISBLANK(M160)),M160+M121,"")</f>
        <v>-15</v>
      </c>
      <c r="N80" s="41">
        <f>+IF(NOT(ISBLANK(N160)),N160+N121,"")</f>
        <v>-15</v>
      </c>
      <c r="O80" s="41" t="str">
        <f>+IF(NOT(ISBLANK(O160)),O160+O121,"")</f>
        <v/>
      </c>
      <c r="P80" s="41" t="str">
        <f>+IF(NOT(ISBLANK(P160)),P160+P121,"")</f>
        <v/>
      </c>
      <c r="Q80" s="41" t="str">
        <f>+IF(NOT(ISBLANK(Q160)),Q160+Q121,"")</f>
        <v/>
      </c>
      <c r="R80" s="41" t="str">
        <f>+IF(NOT(ISBLANK(R160)),R160+R121,"")</f>
        <v/>
      </c>
      <c r="S80" s="41" t="str">
        <f>+IF(NOT(ISBLANK(S160)),S160+S121,"")</f>
        <v/>
      </c>
      <c r="T80" s="41">
        <f>+IF(NOT(ISBLANK(T160)),T160+T121,"")</f>
        <v>0</v>
      </c>
      <c r="U80" s="41" t="str">
        <f>+IF(NOT(ISBLANK(U160)),U160+U121,"")</f>
        <v/>
      </c>
      <c r="V80" s="41">
        <f>+IF(NOT(ISBLANK(V160)),V160+V121,"")</f>
        <v>-15</v>
      </c>
      <c r="W80" s="41" t="str">
        <f>+IF(NOT(ISBLANK(W160)),W160+W121,"")</f>
        <v/>
      </c>
      <c r="X80" s="41">
        <f>+IF(NOT(ISBLANK(X160)),X160+X121,"")</f>
        <v>-15</v>
      </c>
      <c r="Y80" s="41">
        <f>+IF(NOT(ISBLANK(Y160)),Y160+Y121,"")</f>
        <v>-30</v>
      </c>
      <c r="Z80" s="41">
        <f>+IF(NOT(ISBLANK(Z160)),Z160+Z121,"")</f>
        <v>75</v>
      </c>
      <c r="AA80" s="41" t="str">
        <f>+IF(NOT(ISBLANK(AA160)),AA160+AA121,"")</f>
        <v/>
      </c>
      <c r="AB80" s="41" t="str">
        <f>+IF(NOT(ISBLANK(AB160)),AB160+AB121,"")</f>
        <v/>
      </c>
      <c r="AC80" s="41" t="str">
        <f>+IF(NOT(ISBLANK(AC160)),AC160+AC121,"")</f>
        <v/>
      </c>
      <c r="AD80" s="41" t="str">
        <f>+IF(NOT(ISBLANK(AD160)),AD160+AD121,"")</f>
        <v/>
      </c>
      <c r="AE80" s="41" t="str">
        <f>+IF(NOT(ISBLANK(AE160)),AE160+AE121,"")</f>
        <v/>
      </c>
      <c r="AF80" s="41" t="str">
        <f>+IF(NOT(ISBLANK(AF160)),AF160+AF121,"")</f>
        <v/>
      </c>
      <c r="AG80" s="41" t="str">
        <f>+IF(NOT(ISBLANK(AG160)),AG160+AG121,"")</f>
        <v/>
      </c>
      <c r="AH80" s="41" t="str">
        <f>+IF(NOT(ISBLANK(AH160)),AH160+AH121,"")</f>
        <v/>
      </c>
      <c r="AI80" s="41" t="str">
        <f>+IF(NOT(ISBLANK(AI160)),AI160+AI121,"")</f>
        <v/>
      </c>
      <c r="AJ80" s="41">
        <f>+IF(NOT(ISBLANK(AJ160)),AJ160+AJ121,"")</f>
        <v>-15</v>
      </c>
      <c r="AK80" s="41" t="str">
        <f>+IF(NOT(ISBLANK(AK160)),AK160+AK121,"")</f>
        <v/>
      </c>
      <c r="AL80" s="41" t="str">
        <f>+IF(NOT(ISBLANK(AL160)),AL160+AL121,"")</f>
        <v/>
      </c>
      <c r="AM80" s="41" t="str">
        <f>+IF(NOT(ISBLANK(AM160)),AM160+AM121,"")</f>
        <v/>
      </c>
      <c r="AN80" s="41" t="str">
        <f>+IF(NOT(ISBLANK(AN160)),AN160+AN121,"")</f>
        <v/>
      </c>
      <c r="AO80" s="41" t="str">
        <f>+IF(NOT(ISBLANK(AO160)),AO160+AO121,"")</f>
        <v/>
      </c>
      <c r="AP80" s="41" t="str">
        <f>+IF(NOT(ISBLANK(AP160)),AP160+AP121,"")</f>
        <v/>
      </c>
      <c r="AQ80" s="41" t="str">
        <f>+IF(NOT(ISBLANK(AQ160)),AQ160+AQ121,"")</f>
        <v/>
      </c>
      <c r="AR80" s="41" t="str">
        <f>+IF(NOT(ISBLANK(AR160)),AR160+AR121,"")</f>
        <v/>
      </c>
      <c r="AS80" s="41">
        <f>+IF(NOT(ISBLANK(AS160)),AS160+AS121,"")</f>
        <v>-20</v>
      </c>
      <c r="AT80" s="41">
        <f>+IF(NOT(ISBLANK(AT160)),AT160+AT121,"")</f>
        <v>90</v>
      </c>
      <c r="AU80" s="41" t="str">
        <f>+IF(NOT(ISBLANK(AU160)),AU160+AU121,"")</f>
        <v/>
      </c>
      <c r="AV80" s="41">
        <f>+IF(NOT(ISBLANK(AV160)),AV160+AV121,"")</f>
        <v>-30</v>
      </c>
      <c r="AW80" s="41" t="str">
        <f>+IF(NOT(ISBLANK(AW160)),AW160+AW121,"")</f>
        <v/>
      </c>
      <c r="AX80" s="41" t="str">
        <f>+IF(NOT(ISBLANK(AX160)),AX160+AX121,"")</f>
        <v/>
      </c>
      <c r="AY80" s="41" t="str">
        <f>+IF(NOT(ISBLANK(AY160)),AY160+AY121,"")</f>
        <v/>
      </c>
      <c r="AZ80" s="41">
        <f>+IF(NOT(ISBLANK(AZ160)),AZ160+AZ121,"")</f>
        <v>-20</v>
      </c>
      <c r="BA80" s="41" t="str">
        <f>+IF(NOT(ISBLANK(BA160)),BA160+BA121,"")</f>
        <v/>
      </c>
      <c r="BB80" s="41" t="str">
        <f>+IF(NOT(ISBLANK(BB160)),BB160+BB121,"")</f>
        <v/>
      </c>
      <c r="BC80" s="41" t="str">
        <f>+IF(NOT(ISBLANK(BC160)),BC160+BC121,"")</f>
        <v/>
      </c>
      <c r="BD80" s="41">
        <f>+IF(NOT(ISBLANK(BD160)),BD160+BD121,"")</f>
        <v>-20</v>
      </c>
      <c r="BE80" s="41" t="str">
        <f>+IF(NOT(ISBLANK(BE160)),BE160+BE121,"")</f>
        <v/>
      </c>
      <c r="BF80" s="41" t="str">
        <f>+IF(NOT(ISBLANK(BF160)),BF160+BF121,"")</f>
        <v/>
      </c>
      <c r="BG80" s="41" t="str">
        <f>+IF(NOT(ISBLANK(BG160)),BG160+BG121,"")</f>
        <v/>
      </c>
      <c r="BH80" s="41" t="str">
        <f>+IF(NOT(ISBLANK(BH160)),BH160+BH121,"")</f>
        <v/>
      </c>
      <c r="BI80" s="41" t="str">
        <f>+IF(NOT(ISBLANK(BI160)),BI160+BI121,"")</f>
        <v/>
      </c>
      <c r="BJ80" s="41" t="str">
        <f>+IF(NOT(ISBLANK(BJ160)),BJ160+BJ121,"")</f>
        <v/>
      </c>
      <c r="BK80" s="41" t="str">
        <f>+IF(NOT(ISBLANK(BK160)),BK160+BK121,"")</f>
        <v/>
      </c>
      <c r="BL80" s="41">
        <f>+IF(NOT(ISBLANK(BL160)),BL160+BL121,"")</f>
        <v>95</v>
      </c>
      <c r="BM80" s="41" t="str">
        <f>+IF(NOT(ISBLANK(BM160)),BM160+BM121,"")</f>
        <v/>
      </c>
      <c r="BN80" s="41" t="str">
        <f>+IF(NOT(ISBLANK(BN160)),BN160+BN121,"")</f>
        <v/>
      </c>
      <c r="BO80" s="41" t="str">
        <f>+IF(NOT(ISBLANK(BO160)),BO160+BO121,"")</f>
        <v/>
      </c>
      <c r="BP80" s="41">
        <f>+IF(NOT(ISBLANK(BP160)),BP160+BP121,"")</f>
        <v>-20</v>
      </c>
      <c r="BQ80" s="41" t="str">
        <f>+IF(NOT(ISBLANK(BQ160)),BQ160+BQ121,"")</f>
        <v/>
      </c>
      <c r="BR80" s="41" t="str">
        <f>+IF(NOT(ISBLANK(BR160)),BR160+BR121,"")</f>
        <v/>
      </c>
      <c r="BS80" s="41" t="str">
        <f>+IF(NOT(ISBLANK(BS160)),BS160+BS121,"")</f>
        <v/>
      </c>
      <c r="BT80" s="41">
        <f>+IF(NOT(ISBLANK(BT160)),BT160+BT121,"")</f>
        <v>-20</v>
      </c>
      <c r="BU80" s="41">
        <f>+IF(NOT(ISBLANK(BU160)),BU160+BU121,"")</f>
        <v>-20</v>
      </c>
      <c r="BV80" s="41" t="str">
        <f>+IF(NOT(ISBLANK(BV160)),BV160+BV121,"")</f>
        <v/>
      </c>
      <c r="BW80" s="41" t="str">
        <f>+IF(NOT(ISBLANK(BW160)),BW160+BW121,"")</f>
        <v/>
      </c>
      <c r="BX80" s="41" t="str">
        <f>+IF(NOT(ISBLANK(BX160)),BX160+BX121,"")</f>
        <v/>
      </c>
      <c r="BY80" s="41" t="str">
        <f>+IF(NOT(ISBLANK(BY160)),BY160+BY121,"")</f>
        <v/>
      </c>
      <c r="BZ80" s="41">
        <f>+IF(NOT(ISBLANK(BZ160)),BZ160+BZ121,"")</f>
        <v>-20</v>
      </c>
      <c r="CA80" s="41" t="str">
        <f>+IF(NOT(ISBLANK(CA160)),CA160+CA121,"")</f>
        <v/>
      </c>
      <c r="CB80" s="41" t="str">
        <f>+IF(NOT(ISBLANK(CB160)),CB160+CB121,"")</f>
        <v/>
      </c>
      <c r="CC80" s="41" t="str">
        <f>+IF(NOT(ISBLANK(CC160)),CC160+CC121,"")</f>
        <v/>
      </c>
      <c r="CD80" s="41" t="str">
        <f>+IF(NOT(ISBLANK(CD160)),CD160+CD121,"")</f>
        <v/>
      </c>
      <c r="CE80" s="41">
        <f>+IF(NOT(ISBLANK(CE160)),CE160+CE121,"")</f>
        <v>-40</v>
      </c>
      <c r="CF80" s="41" t="str">
        <f>+IF(NOT(ISBLANK(CF160)),CF160+CF121,"")</f>
        <v/>
      </c>
      <c r="CG80" s="41" t="str">
        <f>+IF(NOT(ISBLANK(CG160)),CG160+CG121,"")</f>
        <v/>
      </c>
      <c r="CH80" s="41" t="str">
        <f>+IF(NOT(ISBLANK(CH160)),CH160+CH121,"")</f>
        <v/>
      </c>
      <c r="CI80" s="41" t="str">
        <f>+IF(NOT(ISBLANK(CI160)),CI160+CI121,"")</f>
        <v/>
      </c>
      <c r="CJ80" s="41" t="str">
        <f>+IF(NOT(ISBLANK(CJ160)),CJ160+CJ121,"")</f>
        <v/>
      </c>
      <c r="CK80" s="41" t="str">
        <f>+IF(NOT(ISBLANK(CK160)),CK160+CK121,"")</f>
        <v/>
      </c>
      <c r="CL80" s="41" t="str">
        <f>+IF(NOT(ISBLANK(CL160)),CL160+CL121,"")</f>
        <v/>
      </c>
      <c r="CM80" s="41" t="str">
        <f>+IF(NOT(ISBLANK(CM160)),CM160+CM121,"")</f>
        <v/>
      </c>
      <c r="CN80" s="41" t="str">
        <f>+IF(NOT(ISBLANK(CN160)),CN160+CN121,"")</f>
        <v/>
      </c>
      <c r="CO80" s="42"/>
      <c r="CP80" s="29">
        <f>+IF(NOT(ISBLANK(CP160)),CP160+CP121,"")</f>
        <v>-65</v>
      </c>
      <c r="CQ80" s="41"/>
      <c r="CR80" s="30">
        <f>+CP121/-CP160-1</f>
        <v>-0.15294117647058825</v>
      </c>
      <c r="CS80" s="31">
        <f>+COUNT(D80:CO80)</f>
        <v>20</v>
      </c>
      <c r="CT80" s="31">
        <f>+COUNTIF(D121:CO121,"&gt;0")</f>
        <v>4</v>
      </c>
      <c r="CU80" s="30">
        <f t="shared" si="155"/>
        <v>0.2</v>
      </c>
      <c r="CV80" s="30">
        <f>+SUMIF($D121:$CO121,"&gt;0",$D121:$CO121)/-SUMIF($D160:$CO160,"&lt;0",$D$186:$CO$186)</f>
        <v>0.10794602698650675</v>
      </c>
      <c r="CW80" s="30">
        <f>+SUMIF($D160:$CO160,"&lt;0",$D160:$CO160)/SUMIF($D160:$CO160,"&lt;0",$D$186:$CO$186)</f>
        <v>0.12743628185907047</v>
      </c>
      <c r="CX80" s="32">
        <f t="shared" si="154"/>
        <v>-3.25</v>
      </c>
    </row>
    <row r="81" spans="2:102" ht="12.75" hidden="1" customHeight="1" outlineLevel="1" x14ac:dyDescent="0.2">
      <c r="B81" s="33"/>
      <c r="C81" s="33" t="str">
        <f>+C122</f>
        <v>Ilmari Lehtinen</v>
      </c>
      <c r="D81" s="34">
        <f>+IF(NOT(ISBLANK(D161)),D161+D122,"")</f>
        <v>-20</v>
      </c>
      <c r="E81" s="34">
        <f>+IF(NOT(ISBLANK(E161)),E161+E122,"")</f>
        <v>-20</v>
      </c>
      <c r="F81" s="34" t="str">
        <f>+IF(NOT(ISBLANK(F161)),F161+F122,"")</f>
        <v/>
      </c>
      <c r="G81" s="34" t="str">
        <f>+IF(NOT(ISBLANK(G161)),G161+G122,"")</f>
        <v/>
      </c>
      <c r="H81" s="34" t="str">
        <f>+IF(NOT(ISBLANK(H161)),H161+H122,"")</f>
        <v/>
      </c>
      <c r="I81" s="34" t="str">
        <f>+IF(NOT(ISBLANK(I161)),I161+I122,"")</f>
        <v/>
      </c>
      <c r="J81" s="34" t="str">
        <f>+IF(NOT(ISBLANK(J161)),J161+J122,"")</f>
        <v/>
      </c>
      <c r="K81" s="34">
        <f>+IF(NOT(ISBLANK(K161)),K161+K122,"")</f>
        <v>-15</v>
      </c>
      <c r="L81" s="34" t="str">
        <f>+IF(NOT(ISBLANK(L161)),L161+L122,"")</f>
        <v/>
      </c>
      <c r="M81" s="34" t="str">
        <f>+IF(NOT(ISBLANK(M161)),M161+M122,"")</f>
        <v/>
      </c>
      <c r="N81" s="34" t="str">
        <f>+IF(NOT(ISBLANK(N161)),N161+N122,"")</f>
        <v/>
      </c>
      <c r="O81" s="34">
        <f>+IF(NOT(ISBLANK(O161)),O161+O122,"")</f>
        <v>-15</v>
      </c>
      <c r="P81" s="34" t="str">
        <f>+IF(NOT(ISBLANK(P161)),P161+P122,"")</f>
        <v/>
      </c>
      <c r="Q81" s="34">
        <f>+IF(NOT(ISBLANK(Q161)),Q161+Q122,"")</f>
        <v>-15</v>
      </c>
      <c r="R81" s="34" t="str">
        <f>+IF(NOT(ISBLANK(R161)),R161+R122,"")</f>
        <v/>
      </c>
      <c r="S81" s="34" t="str">
        <f>+IF(NOT(ISBLANK(S161)),S161+S122,"")</f>
        <v/>
      </c>
      <c r="T81" s="34" t="str">
        <f>+IF(NOT(ISBLANK(T161)),T161+T122,"")</f>
        <v/>
      </c>
      <c r="U81" s="34" t="str">
        <f>+IF(NOT(ISBLANK(U161)),U161+U122,"")</f>
        <v/>
      </c>
      <c r="V81" s="34" t="str">
        <f>+IF(NOT(ISBLANK(V161)),V161+V122,"")</f>
        <v/>
      </c>
      <c r="W81" s="34" t="str">
        <f>+IF(NOT(ISBLANK(W161)),W161+W122,"")</f>
        <v/>
      </c>
      <c r="X81" s="34" t="str">
        <f>+IF(NOT(ISBLANK(X161)),X161+X122,"")</f>
        <v/>
      </c>
      <c r="Y81" s="34" t="str">
        <f>+IF(NOT(ISBLANK(Y161)),Y161+Y122,"")</f>
        <v/>
      </c>
      <c r="Z81" s="34" t="str">
        <f>+IF(NOT(ISBLANK(Z161)),Z161+Z122,"")</f>
        <v/>
      </c>
      <c r="AA81" s="34" t="str">
        <f>+IF(NOT(ISBLANK(AA161)),AA161+AA122,"")</f>
        <v/>
      </c>
      <c r="AB81" s="34" t="str">
        <f>+IF(NOT(ISBLANK(AB161)),AB161+AB122,"")</f>
        <v/>
      </c>
      <c r="AC81" s="34" t="str">
        <f>+IF(NOT(ISBLANK(AC161)),AC161+AC122,"")</f>
        <v/>
      </c>
      <c r="AD81" s="34" t="str">
        <f>+IF(NOT(ISBLANK(AD161)),AD161+AD122,"")</f>
        <v/>
      </c>
      <c r="AE81" s="34" t="str">
        <f>+IF(NOT(ISBLANK(AE161)),AE161+AE122,"")</f>
        <v/>
      </c>
      <c r="AF81" s="34" t="str">
        <f>+IF(NOT(ISBLANK(AF161)),AF161+AF122,"")</f>
        <v/>
      </c>
      <c r="AG81" s="34" t="str">
        <f>+IF(NOT(ISBLANK(AG161)),AG161+AG122,"")</f>
        <v/>
      </c>
      <c r="AH81" s="34" t="str">
        <f>+IF(NOT(ISBLANK(AH161)),AH161+AH122,"")</f>
        <v/>
      </c>
      <c r="AI81" s="34" t="str">
        <f>+IF(NOT(ISBLANK(AI161)),AI161+AI122,"")</f>
        <v/>
      </c>
      <c r="AJ81" s="34" t="str">
        <f>+IF(NOT(ISBLANK(AJ161)),AJ161+AJ122,"")</f>
        <v/>
      </c>
      <c r="AK81" s="34" t="str">
        <f>+IF(NOT(ISBLANK(AK161)),AK161+AK122,"")</f>
        <v/>
      </c>
      <c r="AL81" s="34" t="str">
        <f>+IF(NOT(ISBLANK(AL161)),AL161+AL122,"")</f>
        <v/>
      </c>
      <c r="AM81" s="34" t="str">
        <f>+IF(NOT(ISBLANK(AM161)),AM161+AM122,"")</f>
        <v/>
      </c>
      <c r="AN81" s="34" t="str">
        <f>+IF(NOT(ISBLANK(AN161)),AN161+AN122,"")</f>
        <v/>
      </c>
      <c r="AO81" s="34" t="str">
        <f>+IF(NOT(ISBLANK(AO161)),AO161+AO122,"")</f>
        <v/>
      </c>
      <c r="AP81" s="34" t="str">
        <f>+IF(NOT(ISBLANK(AP161)),AP161+AP122,"")</f>
        <v/>
      </c>
      <c r="AQ81" s="34" t="str">
        <f>+IF(NOT(ISBLANK(AQ161)),AQ161+AQ122,"")</f>
        <v/>
      </c>
      <c r="AR81" s="34" t="str">
        <f>+IF(NOT(ISBLANK(AR161)),AR161+AR122,"")</f>
        <v/>
      </c>
      <c r="AS81" s="34" t="str">
        <f>+IF(NOT(ISBLANK(AS161)),AS161+AS122,"")</f>
        <v/>
      </c>
      <c r="AT81" s="34" t="str">
        <f>+IF(NOT(ISBLANK(AT161)),AT161+AT122,"")</f>
        <v/>
      </c>
      <c r="AU81" s="34" t="str">
        <f>+IF(NOT(ISBLANK(AU161)),AU161+AU122,"")</f>
        <v/>
      </c>
      <c r="AV81" s="34" t="str">
        <f>+IF(NOT(ISBLANK(AV161)),AV161+AV122,"")</f>
        <v/>
      </c>
      <c r="AW81" s="34" t="str">
        <f>+IF(NOT(ISBLANK(AW161)),AW161+AW122,"")</f>
        <v/>
      </c>
      <c r="AX81" s="34" t="str">
        <f>+IF(NOT(ISBLANK(AX161)),AX161+AX122,"")</f>
        <v/>
      </c>
      <c r="AY81" s="34" t="str">
        <f>+IF(NOT(ISBLANK(AY161)),AY161+AY122,"")</f>
        <v/>
      </c>
      <c r="AZ81" s="34" t="str">
        <f>+IF(NOT(ISBLANK(AZ161)),AZ161+AZ122,"")</f>
        <v/>
      </c>
      <c r="BA81" s="34" t="str">
        <f>+IF(NOT(ISBLANK(BA161)),BA161+BA122,"")</f>
        <v/>
      </c>
      <c r="BB81" s="34" t="str">
        <f>+IF(NOT(ISBLANK(BB161)),BB161+BB122,"")</f>
        <v/>
      </c>
      <c r="BC81" s="34" t="str">
        <f>+IF(NOT(ISBLANK(BC161)),BC161+BC122,"")</f>
        <v/>
      </c>
      <c r="BD81" s="34" t="str">
        <f>+IF(NOT(ISBLANK(BD161)),BD161+BD122,"")</f>
        <v/>
      </c>
      <c r="BE81" s="34" t="str">
        <f>+IF(NOT(ISBLANK(BE161)),BE161+BE122,"")</f>
        <v/>
      </c>
      <c r="BF81" s="34" t="str">
        <f>+IF(NOT(ISBLANK(BF161)),BF161+BF122,"")</f>
        <v/>
      </c>
      <c r="BG81" s="34" t="str">
        <f>+IF(NOT(ISBLANK(BG161)),BG161+BG122,"")</f>
        <v/>
      </c>
      <c r="BH81" s="34" t="str">
        <f>+IF(NOT(ISBLANK(BH161)),BH161+BH122,"")</f>
        <v/>
      </c>
      <c r="BI81" s="34" t="str">
        <f>+IF(NOT(ISBLANK(BI161)),BI161+BI122,"")</f>
        <v/>
      </c>
      <c r="BJ81" s="34" t="str">
        <f>+IF(NOT(ISBLANK(BJ161)),BJ161+BJ122,"")</f>
        <v/>
      </c>
      <c r="BK81" s="34">
        <f>+IF(NOT(ISBLANK(BK161)),BK161+BK122,"")</f>
        <v>80</v>
      </c>
      <c r="BL81" s="34" t="str">
        <f>+IF(NOT(ISBLANK(BL161)),BL161+BL122,"")</f>
        <v/>
      </c>
      <c r="BM81" s="34">
        <f>+IF(NOT(ISBLANK(BM161)),BM161+BM122,"")</f>
        <v>-20</v>
      </c>
      <c r="BN81" s="34" t="str">
        <f>+IF(NOT(ISBLANK(BN161)),BN161+BN122,"")</f>
        <v/>
      </c>
      <c r="BO81" s="34" t="str">
        <f>+IF(NOT(ISBLANK(BO161)),BO161+BO122,"")</f>
        <v/>
      </c>
      <c r="BP81" s="34">
        <f>+IF(NOT(ISBLANK(BP161)),BP161+BP122,"")</f>
        <v>95</v>
      </c>
      <c r="BQ81" s="34">
        <f>+IF(NOT(ISBLANK(BQ161)),BQ161+BQ122,"")</f>
        <v>-60</v>
      </c>
      <c r="BR81" s="34">
        <f>+IF(NOT(ISBLANK(BR161)),BR161+BR122,"")</f>
        <v>-60</v>
      </c>
      <c r="BS81" s="34">
        <f>+IF(NOT(ISBLANK(BS161)),BS161+BS122,"")</f>
        <v>-40</v>
      </c>
      <c r="BT81" s="34" t="str">
        <f>+IF(NOT(ISBLANK(BT161)),BT161+BT122,"")</f>
        <v/>
      </c>
      <c r="BU81" s="34" t="str">
        <f>+IF(NOT(ISBLANK(BU161)),BU161+BU122,"")</f>
        <v/>
      </c>
      <c r="BV81" s="34">
        <f>+IF(NOT(ISBLANK(BV161)),BV161+BV122,"")</f>
        <v>-20</v>
      </c>
      <c r="BW81" s="34" t="str">
        <f>+IF(NOT(ISBLANK(BW161)),BW161+BW122,"")</f>
        <v/>
      </c>
      <c r="BX81" s="34" t="str">
        <f>+IF(NOT(ISBLANK(BX161)),BX161+BX122,"")</f>
        <v/>
      </c>
      <c r="BY81" s="34" t="str">
        <f>+IF(NOT(ISBLANK(BY161)),BY161+BY122,"")</f>
        <v/>
      </c>
      <c r="BZ81" s="34" t="str">
        <f>+IF(NOT(ISBLANK(BZ161)),BZ161+BZ122,"")</f>
        <v/>
      </c>
      <c r="CA81" s="34">
        <f>+IF(NOT(ISBLANK(CA161)),CA161+CA122,"")</f>
        <v>-40</v>
      </c>
      <c r="CB81" s="34">
        <f>+IF(NOT(ISBLANK(CB161)),CB161+CB122,"")</f>
        <v>-20</v>
      </c>
      <c r="CC81" s="34" t="str">
        <f>+IF(NOT(ISBLANK(CC161)),CC161+CC122,"")</f>
        <v/>
      </c>
      <c r="CD81" s="34">
        <f>+IF(NOT(ISBLANK(CD161)),CD161+CD122,"")</f>
        <v>-40</v>
      </c>
      <c r="CE81" s="34" t="str">
        <f>+IF(NOT(ISBLANK(CE161)),CE161+CE122,"")</f>
        <v/>
      </c>
      <c r="CF81" s="34" t="str">
        <f>+IF(NOT(ISBLANK(CF161)),CF161+CF122,"")</f>
        <v/>
      </c>
      <c r="CG81" s="34" t="str">
        <f>+IF(NOT(ISBLANK(CG161)),CG161+CG122,"")</f>
        <v/>
      </c>
      <c r="CH81" s="34">
        <f>+IF(NOT(ISBLANK(CH161)),CH161+CH122,"")</f>
        <v>-60</v>
      </c>
      <c r="CI81" s="34" t="str">
        <f>+IF(NOT(ISBLANK(CI161)),CI161+CI122,"")</f>
        <v/>
      </c>
      <c r="CJ81" s="34" t="str">
        <f>+IF(NOT(ISBLANK(CJ161)),CJ161+CJ122,"")</f>
        <v/>
      </c>
      <c r="CK81" s="34" t="str">
        <f>+IF(NOT(ISBLANK(CK161)),CK161+CK122,"")</f>
        <v/>
      </c>
      <c r="CL81" s="34" t="str">
        <f>+IF(NOT(ISBLANK(CL161)),CL161+CL122,"")</f>
        <v/>
      </c>
      <c r="CM81" s="34" t="str">
        <f>+IF(NOT(ISBLANK(CM161)),CM161+CM122,"")</f>
        <v/>
      </c>
      <c r="CN81" s="34">
        <f>+IF(NOT(ISBLANK(CN161)),CN161+CN122,"")</f>
        <v>-60</v>
      </c>
      <c r="CO81" s="35"/>
      <c r="CP81" s="36">
        <f>+IF(NOT(ISBLANK(CP161)),CP161+CP122,"")</f>
        <v>-330</v>
      </c>
      <c r="CQ81" s="34"/>
      <c r="CR81" s="37">
        <f>+CP122/-CP161-1</f>
        <v>-0.5641025641025641</v>
      </c>
      <c r="CS81" s="38">
        <f>+COUNT(D81:CO81)</f>
        <v>17</v>
      </c>
      <c r="CT81" s="38">
        <f>+COUNTIF(D122:CO122,"&gt;0")</f>
        <v>2</v>
      </c>
      <c r="CU81" s="37">
        <f t="shared" si="155"/>
        <v>0.11764705882352941</v>
      </c>
      <c r="CV81" s="37">
        <f>+SUMIF($D122:$CO122,"&gt;0",$D122:$CO122)/-SUMIF($D161:$CO161,"&lt;0",$D$186:$CO$186)</f>
        <v>7.786259541984733E-2</v>
      </c>
      <c r="CW81" s="37">
        <f>+SUMIF($D161:$CO161,"&lt;0",$D161:$CO161)/SUMIF($D161:$CO161,"&lt;0",$D$186:$CO$186)</f>
        <v>0.17862595419847327</v>
      </c>
      <c r="CX81" s="39">
        <f t="shared" si="154"/>
        <v>-19.411764705882351</v>
      </c>
    </row>
    <row r="82" spans="2:102" ht="12.75" hidden="1" customHeight="1" outlineLevel="1" x14ac:dyDescent="0.2">
      <c r="B82" s="40"/>
      <c r="C82" s="40" t="str">
        <f>+C123</f>
        <v>Jamiro Lilja</v>
      </c>
      <c r="D82" s="41" t="str">
        <f>+IF(NOT(ISBLANK(D162)),D162+D123,"")</f>
        <v/>
      </c>
      <c r="E82" s="41">
        <f>+IF(NOT(ISBLANK(E162)),E162+E123,"")</f>
        <v>-10</v>
      </c>
      <c r="F82" s="41">
        <f>+IF(NOT(ISBLANK(F162)),F162+F123,"")</f>
        <v>-10</v>
      </c>
      <c r="G82" s="41">
        <f>+IF(NOT(ISBLANK(G162)),G162+G123,"")</f>
        <v>-10</v>
      </c>
      <c r="H82" s="41" t="str">
        <f>+IF(NOT(ISBLANK(H162)),H162+H123,"")</f>
        <v/>
      </c>
      <c r="I82" s="41" t="str">
        <f>+IF(NOT(ISBLANK(I162)),I162+I123,"")</f>
        <v/>
      </c>
      <c r="J82" s="41">
        <f>+IF(NOT(ISBLANK(J162)),J162+J123,"")</f>
        <v>-30</v>
      </c>
      <c r="K82" s="41" t="str">
        <f>+IF(NOT(ISBLANK(K162)),K162+K123,"")</f>
        <v/>
      </c>
      <c r="L82" s="41">
        <f>+IF(NOT(ISBLANK(L162)),L162+L123,"")</f>
        <v>-30</v>
      </c>
      <c r="M82" s="41">
        <f>+IF(NOT(ISBLANK(M162)),M162+M123,"")</f>
        <v>-30</v>
      </c>
      <c r="N82" s="41">
        <f>+IF(NOT(ISBLANK(N162)),N162+N123,"")</f>
        <v>45</v>
      </c>
      <c r="O82" s="41" t="str">
        <f>+IF(NOT(ISBLANK(O162)),O162+O123,"")</f>
        <v/>
      </c>
      <c r="P82" s="41">
        <f>+IF(NOT(ISBLANK(P162)),P162+P123,"")</f>
        <v>75</v>
      </c>
      <c r="Q82" s="41">
        <f>+IF(NOT(ISBLANK(Q162)),Q162+Q123,"")</f>
        <v>-15</v>
      </c>
      <c r="R82" s="41">
        <f>+IF(NOT(ISBLANK(R162)),R162+R123,"")</f>
        <v>-30</v>
      </c>
      <c r="S82" s="41">
        <f>+IF(NOT(ISBLANK(S162)),S162+S123,"")</f>
        <v>-39.770000000000003</v>
      </c>
      <c r="T82" s="41">
        <f>+IF(NOT(ISBLANK(T162)),T162+T123,"")</f>
        <v>-15</v>
      </c>
      <c r="U82" s="41" t="str">
        <f>+IF(NOT(ISBLANK(U162)),U162+U123,"")</f>
        <v/>
      </c>
      <c r="V82" s="41">
        <f>+IF(NOT(ISBLANK(V162)),V162+V123,"")</f>
        <v>90</v>
      </c>
      <c r="W82" s="41">
        <f>+IF(NOT(ISBLANK(W162)),W162+W123,"")</f>
        <v>-15</v>
      </c>
      <c r="X82" s="41">
        <f>+IF(NOT(ISBLANK(X162)),X162+X123,"")</f>
        <v>90</v>
      </c>
      <c r="Y82" s="41">
        <f>+IF(NOT(ISBLANK(Y162)),Y162+Y123,"")</f>
        <v>75</v>
      </c>
      <c r="Z82" s="41" t="str">
        <f>+IF(NOT(ISBLANK(Z162)),Z162+Z123,"")</f>
        <v/>
      </c>
      <c r="AA82" s="41">
        <f>+IF(NOT(ISBLANK(AA162)),AA162+AA123,"")</f>
        <v>-40</v>
      </c>
      <c r="AB82" s="41">
        <f>+IF(NOT(ISBLANK(AB162)),AB162+AB123,"")</f>
        <v>-30</v>
      </c>
      <c r="AC82" s="41">
        <f>+IF(NOT(ISBLANK(AC162)),AC162+AC123,"")</f>
        <v>-15</v>
      </c>
      <c r="AD82" s="41" t="str">
        <f>+IF(NOT(ISBLANK(AD162)),AD162+AD123,"")</f>
        <v/>
      </c>
      <c r="AE82" s="41">
        <f>+IF(NOT(ISBLANK(AE162)),AE162+AE123,"")</f>
        <v>-20</v>
      </c>
      <c r="AF82" s="41">
        <f>+IF(NOT(ISBLANK(AF162)),AF162+AF123,"")</f>
        <v>-15</v>
      </c>
      <c r="AG82" s="41">
        <f>+IF(NOT(ISBLANK(AG162)),AG162+AG123,"")</f>
        <v>-15</v>
      </c>
      <c r="AH82" s="41" t="str">
        <f>+IF(NOT(ISBLANK(AH162)),AH162+AH123,"")</f>
        <v/>
      </c>
      <c r="AI82" s="41">
        <f>+IF(NOT(ISBLANK(AI162)),AI162+AI123,"")</f>
        <v>-30</v>
      </c>
      <c r="AJ82" s="41" t="str">
        <f>+IF(NOT(ISBLANK(AJ162)),AJ162+AJ123,"")</f>
        <v/>
      </c>
      <c r="AK82" s="41" t="str">
        <f>+IF(NOT(ISBLANK(AK162)),AK162+AK123,"")</f>
        <v/>
      </c>
      <c r="AL82" s="41">
        <f>+IF(NOT(ISBLANK(AL162)),AL162+AL123,"")</f>
        <v>105</v>
      </c>
      <c r="AM82" s="41" t="str">
        <f>+IF(NOT(ISBLANK(AM162)),AM162+AM123,"")</f>
        <v/>
      </c>
      <c r="AN82" s="41">
        <f>+IF(NOT(ISBLANK(AN162)),AN162+AN123,"")</f>
        <v>105</v>
      </c>
      <c r="AO82" s="41">
        <f>+IF(NOT(ISBLANK(AO162)),AO162+AO123,"")</f>
        <v>-10</v>
      </c>
      <c r="AP82" s="41">
        <f>+IF(NOT(ISBLANK(AP162)),AP162+AP123,"")</f>
        <v>-15</v>
      </c>
      <c r="AQ82" s="41">
        <f>+IF(NOT(ISBLANK(AQ162)),AQ162+AQ123,"")</f>
        <v>-45</v>
      </c>
      <c r="AR82" s="41" t="str">
        <f>+IF(NOT(ISBLANK(AR162)),AR162+AR123,"")</f>
        <v/>
      </c>
      <c r="AS82" s="41">
        <f>+IF(NOT(ISBLANK(AS162)),AS162+AS123,"")</f>
        <v>-40</v>
      </c>
      <c r="AT82" s="41">
        <f>+IF(NOT(ISBLANK(AT162)),AT162+AT123,"")</f>
        <v>-15</v>
      </c>
      <c r="AU82" s="41">
        <f>+IF(NOT(ISBLANK(AU162)),AU162+AU123,"")</f>
        <v>75</v>
      </c>
      <c r="AV82" s="41">
        <f>+IF(NOT(ISBLANK(AV162)),AV162+AV123,"")</f>
        <v>-75</v>
      </c>
      <c r="AW82" s="41">
        <f>+IF(NOT(ISBLANK(AW162)),AW162+AW123,"")</f>
        <v>-30</v>
      </c>
      <c r="AX82" s="41" t="str">
        <f>+IF(NOT(ISBLANK(AX162)),AX162+AX123,"")</f>
        <v/>
      </c>
      <c r="AY82" s="41" t="str">
        <f>+IF(NOT(ISBLANK(AY162)),AY162+AY123,"")</f>
        <v/>
      </c>
      <c r="AZ82" s="41">
        <f>+IF(NOT(ISBLANK(AZ162)),AZ162+AZ123,"")</f>
        <v>-80</v>
      </c>
      <c r="BA82" s="41">
        <f>+IF(NOT(ISBLANK(BA162)),BA162+BA123,"")</f>
        <v>-20</v>
      </c>
      <c r="BB82" s="41" t="str">
        <f>+IF(NOT(ISBLANK(BB162)),BB162+BB123,"")</f>
        <v/>
      </c>
      <c r="BC82" s="41">
        <f>+IF(NOT(ISBLANK(BC162)),BC162+BC123,"")</f>
        <v>-20</v>
      </c>
      <c r="BD82" s="41">
        <f>+IF(NOT(ISBLANK(BD162)),BD162+BD123,"")</f>
        <v>160</v>
      </c>
      <c r="BE82" s="41" t="str">
        <f>+IF(NOT(ISBLANK(BE162)),BE162+BE123,"")</f>
        <v/>
      </c>
      <c r="BF82" s="41" t="str">
        <f>+IF(NOT(ISBLANK(BF162)),BF162+BF123,"")</f>
        <v/>
      </c>
      <c r="BG82" s="41">
        <f>+IF(NOT(ISBLANK(BG162)),BG162+BG123,"")</f>
        <v>-15</v>
      </c>
      <c r="BH82" s="41">
        <f>+IF(NOT(ISBLANK(BH162)),BH162+BH123,"")</f>
        <v>-20</v>
      </c>
      <c r="BI82" s="41" t="str">
        <f>+IF(NOT(ISBLANK(BI162)),BI162+BI123,"")</f>
        <v/>
      </c>
      <c r="BJ82" s="41" t="str">
        <f>+IF(NOT(ISBLANK(BJ162)),BJ162+BJ123,"")</f>
        <v/>
      </c>
      <c r="BK82" s="41" t="str">
        <f>+IF(NOT(ISBLANK(BK162)),BK162+BK123,"")</f>
        <v/>
      </c>
      <c r="BL82" s="41">
        <f>+IF(NOT(ISBLANK(BL162)),BL162+BL123,"")</f>
        <v>-20</v>
      </c>
      <c r="BM82" s="41" t="str">
        <f>+IF(NOT(ISBLANK(BM162)),BM162+BM123,"")</f>
        <v/>
      </c>
      <c r="BN82" s="41">
        <f>+IF(NOT(ISBLANK(BN162)),BN162+BN123,"")</f>
        <v>-40</v>
      </c>
      <c r="BO82" s="41">
        <f>+IF(NOT(ISBLANK(BO162)),BO162+BO123,"")</f>
        <v>80</v>
      </c>
      <c r="BP82" s="41">
        <f>+IF(NOT(ISBLANK(BP162)),BP162+BP123,"")</f>
        <v>-20</v>
      </c>
      <c r="BQ82" s="41" t="str">
        <f>+IF(NOT(ISBLANK(BQ162)),BQ162+BQ123,"")</f>
        <v/>
      </c>
      <c r="BR82" s="41" t="str">
        <f>+IF(NOT(ISBLANK(BR162)),BR162+BR123,"")</f>
        <v/>
      </c>
      <c r="BS82" s="41" t="str">
        <f>+IF(NOT(ISBLANK(BS162)),BS162+BS123,"")</f>
        <v/>
      </c>
      <c r="BT82" s="41">
        <f>+IF(NOT(ISBLANK(BT162)),BT162+BT123,"")</f>
        <v>-40</v>
      </c>
      <c r="BU82" s="41">
        <f>+IF(NOT(ISBLANK(BU162)),BU162+BU123,"")</f>
        <v>-60</v>
      </c>
      <c r="BV82" s="41">
        <f>+IF(NOT(ISBLANK(BV162)),BV162+BV123,"")</f>
        <v>200</v>
      </c>
      <c r="BW82" s="41">
        <f>+IF(NOT(ISBLANK(BW162)),BW162+BW123,"")</f>
        <v>-40</v>
      </c>
      <c r="BX82" s="41" t="str">
        <f>+IF(NOT(ISBLANK(BX162)),BX162+BX123,"")</f>
        <v/>
      </c>
      <c r="BY82" s="41" t="str">
        <f>+IF(NOT(ISBLANK(BY162)),BY162+BY123,"")</f>
        <v/>
      </c>
      <c r="BZ82" s="41">
        <f>+IF(NOT(ISBLANK(BZ162)),BZ162+BZ123,"")</f>
        <v>80</v>
      </c>
      <c r="CA82" s="41">
        <f>+IF(NOT(ISBLANK(CA162)),CA162+CA123,"")</f>
        <v>-20</v>
      </c>
      <c r="CB82" s="41">
        <f>+IF(NOT(ISBLANK(CB162)),CB162+CB123,"")</f>
        <v>-60</v>
      </c>
      <c r="CC82" s="41">
        <f>+IF(NOT(ISBLANK(CC162)),CC162+CC123,"")</f>
        <v>180</v>
      </c>
      <c r="CD82" s="41">
        <f>+IF(NOT(ISBLANK(CD162)),CD162+CD123,"")</f>
        <v>-20</v>
      </c>
      <c r="CE82" s="41">
        <f>+IF(NOT(ISBLANK(CE162)),CE162+CE123,"")</f>
        <v>-40</v>
      </c>
      <c r="CF82" s="41" t="str">
        <f>+IF(NOT(ISBLANK(CF162)),CF162+CF123,"")</f>
        <v/>
      </c>
      <c r="CG82" s="41">
        <f>+IF(NOT(ISBLANK(CG162)),CG162+CG123,"")</f>
        <v>-60</v>
      </c>
      <c r="CH82" s="41" t="str">
        <f>+IF(NOT(ISBLANK(CH162)),CH162+CH123,"")</f>
        <v/>
      </c>
      <c r="CI82" s="41">
        <f>+IF(NOT(ISBLANK(CI162)),CI162+CI123,"")</f>
        <v>-30</v>
      </c>
      <c r="CJ82" s="41" t="str">
        <f>+IF(NOT(ISBLANK(CJ162)),CJ162+CJ123,"")</f>
        <v/>
      </c>
      <c r="CK82" s="41">
        <f>+IF(NOT(ISBLANK(CK162)),CK162+CK123,"")</f>
        <v>-25</v>
      </c>
      <c r="CL82" s="41">
        <f>+IF(NOT(ISBLANK(CL162)),CL162+CL123,"")</f>
        <v>240</v>
      </c>
      <c r="CM82" s="41">
        <f>+IF(NOT(ISBLANK(CM162)),CM162+CM123,"")</f>
        <v>-60</v>
      </c>
      <c r="CN82" s="41" t="str">
        <f>+IF(NOT(ISBLANK(CN162)),CN162+CN123,"")</f>
        <v/>
      </c>
      <c r="CO82" s="42"/>
      <c r="CP82" s="29">
        <f>+IF(NOT(ISBLANK(CP162)),CP162+CP123,"")</f>
        <v>280.23</v>
      </c>
      <c r="CQ82" s="41"/>
      <c r="CR82" s="30">
        <f>+CP123/-CP162-1</f>
        <v>0.16732446843447168</v>
      </c>
      <c r="CS82" s="31">
        <f>+COUNT(D82:CO82)</f>
        <v>58</v>
      </c>
      <c r="CT82" s="31">
        <f>+COUNTIF(D123:CO123,"&gt;0")</f>
        <v>14</v>
      </c>
      <c r="CU82" s="30">
        <f>+CT82/CS82</f>
        <v>0.2413793103448276</v>
      </c>
      <c r="CV82" s="30">
        <f>+SUMIF($D123:$CO123,"&gt;0",$D123:$CO123)/-SUMIF($D162:$CO162,"&lt;0",$D$186:$CO$186)</f>
        <v>0.22191271735811491</v>
      </c>
      <c r="CW82" s="30">
        <f>+SUMIF($D162:$CO162,"&lt;0",$D162:$CO162)/SUMIF($D162:$CO162,"&lt;0",$D$186:$CO$186)</f>
        <v>0.19010371439890031</v>
      </c>
      <c r="CX82" s="32">
        <f>+CP82/CS82</f>
        <v>4.8315517241379311</v>
      </c>
    </row>
    <row r="83" spans="2:102" ht="12.75" hidden="1" customHeight="1" outlineLevel="1" x14ac:dyDescent="0.2">
      <c r="B83" s="33"/>
      <c r="C83" s="33" t="str">
        <f>+C124</f>
        <v>Tuomas Järvelä</v>
      </c>
      <c r="D83" s="34" t="str">
        <f>+IF(NOT(ISBLANK(D163)),D163+D124,"")</f>
        <v/>
      </c>
      <c r="E83" s="34">
        <f>+IF(NOT(ISBLANK(E163)),E163+E124,"")</f>
        <v>-10</v>
      </c>
      <c r="F83" s="34">
        <f>+IF(NOT(ISBLANK(F163)),F163+F124,"")</f>
        <v>-10</v>
      </c>
      <c r="G83" s="34" t="str">
        <f>+IF(NOT(ISBLANK(G163)),G163+G124,"")</f>
        <v/>
      </c>
      <c r="H83" s="34">
        <f>+IF(NOT(ISBLANK(H163)),H163+H124,"")</f>
        <v>-15</v>
      </c>
      <c r="I83" s="34" t="str">
        <f>+IF(NOT(ISBLANK(I163)),I163+I124,"")</f>
        <v/>
      </c>
      <c r="J83" s="34">
        <f>+IF(NOT(ISBLANK(J163)),J163+J124,"")</f>
        <v>-15</v>
      </c>
      <c r="K83" s="34" t="str">
        <f>+IF(NOT(ISBLANK(K163)),K163+K124,"")</f>
        <v/>
      </c>
      <c r="L83" s="34">
        <f>+IF(NOT(ISBLANK(L163)),L163+L124,"")</f>
        <v>-15</v>
      </c>
      <c r="M83" s="34" t="str">
        <f>+IF(NOT(ISBLANK(M163)),M163+M124,"")</f>
        <v/>
      </c>
      <c r="N83" s="34" t="str">
        <f>+IF(NOT(ISBLANK(N163)),N163+N124,"")</f>
        <v/>
      </c>
      <c r="O83" s="34" t="str">
        <f>+IF(NOT(ISBLANK(O163)),O163+O124,"")</f>
        <v/>
      </c>
      <c r="P83" s="34">
        <f>+IF(NOT(ISBLANK(P163)),P163+P124,"")</f>
        <v>-15</v>
      </c>
      <c r="Q83" s="34" t="str">
        <f>+IF(NOT(ISBLANK(Q163)),Q163+Q124,"")</f>
        <v/>
      </c>
      <c r="R83" s="34" t="str">
        <f>+IF(NOT(ISBLANK(R163)),R163+R124,"")</f>
        <v/>
      </c>
      <c r="S83" s="34" t="str">
        <f>+IF(NOT(ISBLANK(S163)),S163+S124,"")</f>
        <v/>
      </c>
      <c r="T83" s="34">
        <f>+IF(NOT(ISBLANK(T163)),T163+T124,"")</f>
        <v>-30</v>
      </c>
      <c r="U83" s="34" t="str">
        <f>+IF(NOT(ISBLANK(U163)),U163+U124,"")</f>
        <v/>
      </c>
      <c r="V83" s="34">
        <f>+IF(NOT(ISBLANK(V163)),V163+V124,"")</f>
        <v>-15</v>
      </c>
      <c r="W83" s="34" t="str">
        <f>+IF(NOT(ISBLANK(W163)),W163+W124,"")</f>
        <v/>
      </c>
      <c r="X83" s="34" t="str">
        <f>+IF(NOT(ISBLANK(X163)),X163+X124,"")</f>
        <v/>
      </c>
      <c r="Y83" s="34" t="str">
        <f>+IF(NOT(ISBLANK(Y163)),Y163+Y124,"")</f>
        <v/>
      </c>
      <c r="Z83" s="34" t="str">
        <f>+IF(NOT(ISBLANK(Z163)),Z163+Z124,"")</f>
        <v/>
      </c>
      <c r="AA83" s="34">
        <f>+IF(NOT(ISBLANK(AA163)),AA163+AA124,"")</f>
        <v>-15</v>
      </c>
      <c r="AB83" s="34" t="str">
        <f>+IF(NOT(ISBLANK(AB163)),AB163+AB124,"")</f>
        <v/>
      </c>
      <c r="AC83" s="34" t="str">
        <f>+IF(NOT(ISBLANK(AC163)),AC163+AC124,"")</f>
        <v/>
      </c>
      <c r="AD83" s="34" t="str">
        <f>+IF(NOT(ISBLANK(AD163)),AD163+AD124,"")</f>
        <v/>
      </c>
      <c r="AE83" s="34" t="str">
        <f>+IF(NOT(ISBLANK(AE163)),AE163+AE124,"")</f>
        <v/>
      </c>
      <c r="AF83" s="34" t="str">
        <f>+IF(NOT(ISBLANK(AF163)),AF163+AF124,"")</f>
        <v/>
      </c>
      <c r="AG83" s="34" t="str">
        <f>+IF(NOT(ISBLANK(AG163)),AG163+AG124,"")</f>
        <v/>
      </c>
      <c r="AH83" s="34" t="str">
        <f>+IF(NOT(ISBLANK(AH163)),AH163+AH124,"")</f>
        <v/>
      </c>
      <c r="AI83" s="34" t="str">
        <f>+IF(NOT(ISBLANK(AI163)),AI163+AI124,"")</f>
        <v/>
      </c>
      <c r="AJ83" s="34" t="str">
        <f>+IF(NOT(ISBLANK(AJ163)),AJ163+AJ124,"")</f>
        <v/>
      </c>
      <c r="AK83" s="34" t="str">
        <f>+IF(NOT(ISBLANK(AK163)),AK163+AK124,"")</f>
        <v/>
      </c>
      <c r="AL83" s="34" t="str">
        <f>+IF(NOT(ISBLANK(AL163)),AL163+AL124,"")</f>
        <v/>
      </c>
      <c r="AM83" s="34" t="str">
        <f>+IF(NOT(ISBLANK(AM163)),AM163+AM124,"")</f>
        <v/>
      </c>
      <c r="AN83" s="34">
        <f>+IF(NOT(ISBLANK(AN163)),AN163+AN124,"")</f>
        <v>-30</v>
      </c>
      <c r="AO83" s="34">
        <f>+IF(NOT(ISBLANK(AO163)),AO163+AO124,"")</f>
        <v>40</v>
      </c>
      <c r="AP83" s="34" t="str">
        <f>+IF(NOT(ISBLANK(AP163)),AP163+AP124,"")</f>
        <v/>
      </c>
      <c r="AQ83" s="34">
        <f>+IF(NOT(ISBLANK(AQ163)),AQ163+AQ124,"")</f>
        <v>-15</v>
      </c>
      <c r="AR83" s="34" t="str">
        <f>+IF(NOT(ISBLANK(AR163)),AR163+AR124,"")</f>
        <v/>
      </c>
      <c r="AS83" s="34" t="str">
        <f>+IF(NOT(ISBLANK(AS163)),AS163+AS124,"")</f>
        <v/>
      </c>
      <c r="AT83" s="34" t="str">
        <f>+IF(NOT(ISBLANK(AT163)),AT163+AT124,"")</f>
        <v/>
      </c>
      <c r="AU83" s="34">
        <f>+IF(NOT(ISBLANK(AU163)),AU163+AU124,"")</f>
        <v>-30</v>
      </c>
      <c r="AV83" s="34">
        <f>+IF(NOT(ISBLANK(AV163)),AV163+AV124,"")</f>
        <v>-30</v>
      </c>
      <c r="AW83" s="34" t="str">
        <f>+IF(NOT(ISBLANK(AW163)),AW163+AW124,"")</f>
        <v/>
      </c>
      <c r="AX83" s="34" t="str">
        <f>+IF(NOT(ISBLANK(AX163)),AX163+AX124,"")</f>
        <v/>
      </c>
      <c r="AY83" s="34" t="str">
        <f>+IF(NOT(ISBLANK(AY163)),AY163+AY124,"")</f>
        <v/>
      </c>
      <c r="AZ83" s="34" t="str">
        <f>+IF(NOT(ISBLANK(AZ163)),AZ163+AZ124,"")</f>
        <v/>
      </c>
      <c r="BA83" s="34" t="str">
        <f>+IF(NOT(ISBLANK(BA163)),BA163+BA124,"")</f>
        <v/>
      </c>
      <c r="BB83" s="34" t="str">
        <f>+IF(NOT(ISBLANK(BB163)),BB163+BB124,"")</f>
        <v/>
      </c>
      <c r="BC83" s="34" t="str">
        <f>+IF(NOT(ISBLANK(BC163)),BC163+BC124,"")</f>
        <v/>
      </c>
      <c r="BD83" s="34" t="str">
        <f>+IF(NOT(ISBLANK(BD163)),BD163+BD124,"")</f>
        <v/>
      </c>
      <c r="BE83" s="34" t="str">
        <f>+IF(NOT(ISBLANK(BE163)),BE163+BE124,"")</f>
        <v/>
      </c>
      <c r="BF83" s="34" t="str">
        <f>+IF(NOT(ISBLANK(BF163)),BF163+BF124,"")</f>
        <v/>
      </c>
      <c r="BG83" s="34">
        <f>+IF(NOT(ISBLANK(BG163)),BG163+BG124,"")</f>
        <v>-15</v>
      </c>
      <c r="BH83" s="34">
        <f>+IF(NOT(ISBLANK(BH163)),BH163+BH124,"")</f>
        <v>20</v>
      </c>
      <c r="BI83" s="34" t="str">
        <f>+IF(NOT(ISBLANK(BI163)),BI163+BI124,"")</f>
        <v/>
      </c>
      <c r="BJ83" s="34" t="str">
        <f>+IF(NOT(ISBLANK(BJ163)),BJ163+BJ124,"")</f>
        <v/>
      </c>
      <c r="BK83" s="34" t="str">
        <f>+IF(NOT(ISBLANK(BK163)),BK163+BK124,"")</f>
        <v/>
      </c>
      <c r="BL83" s="34" t="str">
        <f>+IF(NOT(ISBLANK(BL163)),BL163+BL124,"")</f>
        <v/>
      </c>
      <c r="BM83" s="34" t="str">
        <f>+IF(NOT(ISBLANK(BM163)),BM163+BM124,"")</f>
        <v/>
      </c>
      <c r="BN83" s="34" t="str">
        <f>+IF(NOT(ISBLANK(BN163)),BN163+BN124,"")</f>
        <v/>
      </c>
      <c r="BO83" s="34" t="str">
        <f>+IF(NOT(ISBLANK(BO163)),BO163+BO124,"")</f>
        <v/>
      </c>
      <c r="BP83" s="34" t="str">
        <f>+IF(NOT(ISBLANK(BP163)),BP163+BP124,"")</f>
        <v/>
      </c>
      <c r="BQ83" s="34" t="str">
        <f>+IF(NOT(ISBLANK(BQ163)),BQ163+BQ124,"")</f>
        <v/>
      </c>
      <c r="BR83" s="34" t="str">
        <f>+IF(NOT(ISBLANK(BR163)),BR163+BR124,"")</f>
        <v/>
      </c>
      <c r="BS83" s="34" t="str">
        <f>+IF(NOT(ISBLANK(BS163)),BS163+BS124,"")</f>
        <v/>
      </c>
      <c r="BT83" s="34" t="str">
        <f>+IF(NOT(ISBLANK(BT163)),BT163+BT124,"")</f>
        <v/>
      </c>
      <c r="BU83" s="34" t="str">
        <f>+IF(NOT(ISBLANK(BU163)),BU163+BU124,"")</f>
        <v/>
      </c>
      <c r="BV83" s="34" t="str">
        <f>+IF(NOT(ISBLANK(BV163)),BV163+BV124,"")</f>
        <v/>
      </c>
      <c r="BW83" s="34" t="str">
        <f>+IF(NOT(ISBLANK(BW163)),BW163+BW124,"")</f>
        <v/>
      </c>
      <c r="BX83" s="34" t="str">
        <f>+IF(NOT(ISBLANK(BX163)),BX163+BX124,"")</f>
        <v/>
      </c>
      <c r="BY83" s="34" t="str">
        <f>+IF(NOT(ISBLANK(BY163)),BY163+BY124,"")</f>
        <v/>
      </c>
      <c r="BZ83" s="34" t="str">
        <f>+IF(NOT(ISBLANK(BZ163)),BZ163+BZ124,"")</f>
        <v/>
      </c>
      <c r="CA83" s="34" t="str">
        <f>+IF(NOT(ISBLANK(CA163)),CA163+CA124,"")</f>
        <v/>
      </c>
      <c r="CB83" s="34" t="str">
        <f>+IF(NOT(ISBLANK(CB163)),CB163+CB124,"")</f>
        <v/>
      </c>
      <c r="CC83" s="34" t="str">
        <f>+IF(NOT(ISBLANK(CC163)),CC163+CC124,"")</f>
        <v/>
      </c>
      <c r="CD83" s="34" t="str">
        <f>+IF(NOT(ISBLANK(CD163)),CD163+CD124,"")</f>
        <v/>
      </c>
      <c r="CE83" s="34">
        <f>+IF(NOT(ISBLANK(CE163)),CE163+CE124,"")</f>
        <v>-20</v>
      </c>
      <c r="CF83" s="34" t="str">
        <f>+IF(NOT(ISBLANK(CF163)),CF163+CF124,"")</f>
        <v/>
      </c>
      <c r="CG83" s="34" t="str">
        <f>+IF(NOT(ISBLANK(CG163)),CG163+CG124,"")</f>
        <v/>
      </c>
      <c r="CH83" s="34" t="str">
        <f>+IF(NOT(ISBLANK(CH163)),CH163+CH124,"")</f>
        <v/>
      </c>
      <c r="CI83" s="34" t="str">
        <f>+IF(NOT(ISBLANK(CI163)),CI163+CI124,"")</f>
        <v/>
      </c>
      <c r="CJ83" s="34" t="str">
        <f>+IF(NOT(ISBLANK(CJ163)),CJ163+CJ124,"")</f>
        <v/>
      </c>
      <c r="CK83" s="34">
        <f>+IF(NOT(ISBLANK(CK163)),CK163+CK124,"")</f>
        <v>-25</v>
      </c>
      <c r="CL83" s="34" t="str">
        <f>+IF(NOT(ISBLANK(CL163)),CL163+CL124,"")</f>
        <v/>
      </c>
      <c r="CM83" s="34" t="str">
        <f>+IF(NOT(ISBLANK(CM163)),CM163+CM124,"")</f>
        <v/>
      </c>
      <c r="CN83" s="34" t="str">
        <f>+IF(NOT(ISBLANK(CN163)),CN163+CN124,"")</f>
        <v/>
      </c>
      <c r="CO83" s="35"/>
      <c r="CP83" s="36">
        <f>+IF(NOT(ISBLANK(CP163)),CP163+CP124,"")</f>
        <v>-245</v>
      </c>
      <c r="CQ83" s="34"/>
      <c r="CR83" s="37">
        <f>+CP124/-CP163-1</f>
        <v>-0.73134328358208955</v>
      </c>
      <c r="CS83" s="38">
        <f>+COUNT(D83:CO83)</f>
        <v>18</v>
      </c>
      <c r="CT83" s="38">
        <f>+COUNTIF(D124:CO124,"&gt;0")</f>
        <v>2</v>
      </c>
      <c r="CU83" s="37">
        <f t="shared" si="155"/>
        <v>0.1111111111111111</v>
      </c>
      <c r="CV83" s="37">
        <f>+SUMIF($D124:$CO124,"&gt;0",$D124:$CO124)/-SUMIF($D163:$CO163,"&lt;0",$D$186:$CO$186)</f>
        <v>4.0909090909090909E-2</v>
      </c>
      <c r="CW83" s="37">
        <f>+SUMIF($D163:$CO163,"&lt;0",$D163:$CO163)/SUMIF($D163:$CO163,"&lt;0",$D$186:$CO$186)</f>
        <v>0.15227272727272728</v>
      </c>
      <c r="CX83" s="39">
        <f t="shared" si="154"/>
        <v>-13.611111111111111</v>
      </c>
    </row>
    <row r="84" spans="2:102" ht="12.75" hidden="1" customHeight="1" outlineLevel="1" x14ac:dyDescent="0.2">
      <c r="B84" s="40"/>
      <c r="C84" s="40" t="str">
        <f>+C125</f>
        <v>Aapo Pajunen</v>
      </c>
      <c r="D84" s="41" t="str">
        <f>+IF(NOT(ISBLANK(D164)),D164+D125,"")</f>
        <v/>
      </c>
      <c r="E84" s="41" t="str">
        <f>+IF(NOT(ISBLANK(E164)),E164+E125,"")</f>
        <v/>
      </c>
      <c r="F84" s="41" t="str">
        <f>+IF(NOT(ISBLANK(F164)),F164+F125,"")</f>
        <v/>
      </c>
      <c r="G84" s="41" t="str">
        <f>+IF(NOT(ISBLANK(G164)),G164+G125,"")</f>
        <v/>
      </c>
      <c r="H84" s="41" t="str">
        <f>+IF(NOT(ISBLANK(H164)),H164+H125,"")</f>
        <v/>
      </c>
      <c r="I84" s="41" t="str">
        <f>+IF(NOT(ISBLANK(I164)),I164+I125,"")</f>
        <v/>
      </c>
      <c r="J84" s="41" t="str">
        <f>+IF(NOT(ISBLANK(J164)),J164+J125,"")</f>
        <v/>
      </c>
      <c r="K84" s="41" t="str">
        <f>+IF(NOT(ISBLANK(K164)),K164+K125,"")</f>
        <v/>
      </c>
      <c r="L84" s="41" t="str">
        <f>+IF(NOT(ISBLANK(L164)),L164+L125,"")</f>
        <v/>
      </c>
      <c r="M84" s="41" t="str">
        <f>+IF(NOT(ISBLANK(M164)),M164+M125,"")</f>
        <v/>
      </c>
      <c r="N84" s="41" t="str">
        <f>+IF(NOT(ISBLANK(N164)),N164+N125,"")</f>
        <v/>
      </c>
      <c r="O84" s="41" t="str">
        <f>+IF(NOT(ISBLANK(O164)),O164+O125,"")</f>
        <v/>
      </c>
      <c r="P84" s="41" t="str">
        <f>+IF(NOT(ISBLANK(P164)),P164+P125,"")</f>
        <v/>
      </c>
      <c r="Q84" s="41" t="str">
        <f>+IF(NOT(ISBLANK(Q164)),Q164+Q125,"")</f>
        <v/>
      </c>
      <c r="R84" s="41" t="str">
        <f>+IF(NOT(ISBLANK(R164)),R164+R125,"")</f>
        <v/>
      </c>
      <c r="S84" s="41" t="str">
        <f>+IF(NOT(ISBLANK(S164)),S164+S125,"")</f>
        <v/>
      </c>
      <c r="T84" s="41" t="str">
        <f>+IF(NOT(ISBLANK(T164)),T164+T125,"")</f>
        <v/>
      </c>
      <c r="U84" s="41" t="str">
        <f>+IF(NOT(ISBLANK(U164)),U164+U125,"")</f>
        <v/>
      </c>
      <c r="V84" s="41" t="str">
        <f>+IF(NOT(ISBLANK(V164)),V164+V125,"")</f>
        <v/>
      </c>
      <c r="W84" s="41" t="str">
        <f>+IF(NOT(ISBLANK(W164)),W164+W125,"")</f>
        <v/>
      </c>
      <c r="X84" s="41">
        <f>+IF(NOT(ISBLANK(X164)),X164+X125,"")</f>
        <v>-15</v>
      </c>
      <c r="Y84" s="41" t="str">
        <f>+IF(NOT(ISBLANK(Y164)),Y164+Y125,"")</f>
        <v/>
      </c>
      <c r="Z84" s="41" t="str">
        <f>+IF(NOT(ISBLANK(Z164)),Z164+Z125,"")</f>
        <v/>
      </c>
      <c r="AA84" s="41" t="str">
        <f>+IF(NOT(ISBLANK(AA164)),AA164+AA125,"")</f>
        <v/>
      </c>
      <c r="AB84" s="41" t="str">
        <f>+IF(NOT(ISBLANK(AB164)),AB164+AB125,"")</f>
        <v/>
      </c>
      <c r="AC84" s="41" t="str">
        <f>+IF(NOT(ISBLANK(AC164)),AC164+AC125,"")</f>
        <v/>
      </c>
      <c r="AD84" s="41" t="str">
        <f>+IF(NOT(ISBLANK(AD164)),AD164+AD125,"")</f>
        <v/>
      </c>
      <c r="AE84" s="41" t="str">
        <f>+IF(NOT(ISBLANK(AE164)),AE164+AE125,"")</f>
        <v/>
      </c>
      <c r="AF84" s="41" t="str">
        <f>+IF(NOT(ISBLANK(AF164)),AF164+AF125,"")</f>
        <v/>
      </c>
      <c r="AG84" s="41" t="str">
        <f>+IF(NOT(ISBLANK(AG164)),AG164+AG125,"")</f>
        <v/>
      </c>
      <c r="AH84" s="41" t="str">
        <f>+IF(NOT(ISBLANK(AH164)),AH164+AH125,"")</f>
        <v/>
      </c>
      <c r="AI84" s="41" t="str">
        <f>+IF(NOT(ISBLANK(AI164)),AI164+AI125,"")</f>
        <v/>
      </c>
      <c r="AJ84" s="41" t="str">
        <f>+IF(NOT(ISBLANK(AJ164)),AJ164+AJ125,"")</f>
        <v/>
      </c>
      <c r="AK84" s="41" t="str">
        <f>+IF(NOT(ISBLANK(AK164)),AK164+AK125,"")</f>
        <v/>
      </c>
      <c r="AL84" s="41" t="str">
        <f>+IF(NOT(ISBLANK(AL164)),AL164+AL125,"")</f>
        <v/>
      </c>
      <c r="AM84" s="41" t="str">
        <f>+IF(NOT(ISBLANK(AM164)),AM164+AM125,"")</f>
        <v/>
      </c>
      <c r="AN84" s="41" t="str">
        <f>+IF(NOT(ISBLANK(AN164)),AN164+AN125,"")</f>
        <v/>
      </c>
      <c r="AO84" s="41" t="str">
        <f>+IF(NOT(ISBLANK(AO164)),AO164+AO125,"")</f>
        <v/>
      </c>
      <c r="AP84" s="41" t="str">
        <f>+IF(NOT(ISBLANK(AP164)),AP164+AP125,"")</f>
        <v/>
      </c>
      <c r="AQ84" s="41" t="str">
        <f>+IF(NOT(ISBLANK(AQ164)),AQ164+AQ125,"")</f>
        <v/>
      </c>
      <c r="AR84" s="41" t="str">
        <f>+IF(NOT(ISBLANK(AR164)),AR164+AR125,"")</f>
        <v/>
      </c>
      <c r="AS84" s="41" t="str">
        <f>+IF(NOT(ISBLANK(AS164)),AS164+AS125,"")</f>
        <v/>
      </c>
      <c r="AT84" s="41" t="str">
        <f>+IF(NOT(ISBLANK(AT164)),AT164+AT125,"")</f>
        <v/>
      </c>
      <c r="AU84" s="41" t="str">
        <f>+IF(NOT(ISBLANK(AU164)),AU164+AU125,"")</f>
        <v/>
      </c>
      <c r="AV84" s="41" t="str">
        <f>+IF(NOT(ISBLANK(AV164)),AV164+AV125,"")</f>
        <v/>
      </c>
      <c r="AW84" s="41" t="str">
        <f>+IF(NOT(ISBLANK(AW164)),AW164+AW125,"")</f>
        <v/>
      </c>
      <c r="AX84" s="41" t="str">
        <f>+IF(NOT(ISBLANK(AX164)),AX164+AX125,"")</f>
        <v/>
      </c>
      <c r="AY84" s="41" t="str">
        <f>+IF(NOT(ISBLANK(AY164)),AY164+AY125,"")</f>
        <v/>
      </c>
      <c r="AZ84" s="41" t="str">
        <f>+IF(NOT(ISBLANK(AZ164)),AZ164+AZ125,"")</f>
        <v/>
      </c>
      <c r="BA84" s="41" t="str">
        <f>+IF(NOT(ISBLANK(BA164)),BA164+BA125,"")</f>
        <v/>
      </c>
      <c r="BB84" s="41" t="str">
        <f>+IF(NOT(ISBLANK(BB164)),BB164+BB125,"")</f>
        <v/>
      </c>
      <c r="BC84" s="41" t="str">
        <f>+IF(NOT(ISBLANK(BC164)),BC164+BC125,"")</f>
        <v/>
      </c>
      <c r="BD84" s="41" t="str">
        <f>+IF(NOT(ISBLANK(BD164)),BD164+BD125,"")</f>
        <v/>
      </c>
      <c r="BE84" s="41" t="str">
        <f>+IF(NOT(ISBLANK(BE164)),BE164+BE125,"")</f>
        <v/>
      </c>
      <c r="BF84" s="41" t="str">
        <f>+IF(NOT(ISBLANK(BF164)),BF164+BF125,"")</f>
        <v/>
      </c>
      <c r="BG84" s="41" t="str">
        <f>+IF(NOT(ISBLANK(BG164)),BG164+BG125,"")</f>
        <v/>
      </c>
      <c r="BH84" s="41" t="str">
        <f>+IF(NOT(ISBLANK(BH164)),BH164+BH125,"")</f>
        <v/>
      </c>
      <c r="BI84" s="41" t="str">
        <f>+IF(NOT(ISBLANK(BI164)),BI164+BI125,"")</f>
        <v/>
      </c>
      <c r="BJ84" s="41" t="str">
        <f>+IF(NOT(ISBLANK(BJ164)),BJ164+BJ125,"")</f>
        <v/>
      </c>
      <c r="BK84" s="41" t="str">
        <f>+IF(NOT(ISBLANK(BK164)),BK164+BK125,"")</f>
        <v/>
      </c>
      <c r="BL84" s="41" t="str">
        <f>+IF(NOT(ISBLANK(BL164)),BL164+BL125,"")</f>
        <v/>
      </c>
      <c r="BM84" s="41" t="str">
        <f>+IF(NOT(ISBLANK(BM164)),BM164+BM125,"")</f>
        <v/>
      </c>
      <c r="BN84" s="41" t="str">
        <f>+IF(NOT(ISBLANK(BN164)),BN164+BN125,"")</f>
        <v/>
      </c>
      <c r="BO84" s="41" t="str">
        <f>+IF(NOT(ISBLANK(BO164)),BO164+BO125,"")</f>
        <v/>
      </c>
      <c r="BP84" s="41" t="str">
        <f>+IF(NOT(ISBLANK(BP164)),BP164+BP125,"")</f>
        <v/>
      </c>
      <c r="BQ84" s="41" t="str">
        <f>+IF(NOT(ISBLANK(BQ164)),BQ164+BQ125,"")</f>
        <v/>
      </c>
      <c r="BR84" s="41" t="str">
        <f>+IF(NOT(ISBLANK(BR164)),BR164+BR125,"")</f>
        <v/>
      </c>
      <c r="BS84" s="41" t="str">
        <f>+IF(NOT(ISBLANK(BS164)),BS164+BS125,"")</f>
        <v/>
      </c>
      <c r="BT84" s="41" t="str">
        <f>+IF(NOT(ISBLANK(BT164)),BT164+BT125,"")</f>
        <v/>
      </c>
      <c r="BU84" s="41" t="str">
        <f>+IF(NOT(ISBLANK(BU164)),BU164+BU125,"")</f>
        <v/>
      </c>
      <c r="BV84" s="41" t="str">
        <f>+IF(NOT(ISBLANK(BV164)),BV164+BV125,"")</f>
        <v/>
      </c>
      <c r="BW84" s="41" t="str">
        <f>+IF(NOT(ISBLANK(BW164)),BW164+BW125,"")</f>
        <v/>
      </c>
      <c r="BX84" s="41" t="str">
        <f>+IF(NOT(ISBLANK(BX164)),BX164+BX125,"")</f>
        <v/>
      </c>
      <c r="BY84" s="41" t="str">
        <f>+IF(NOT(ISBLANK(BY164)),BY164+BY125,"")</f>
        <v/>
      </c>
      <c r="BZ84" s="41" t="str">
        <f>+IF(NOT(ISBLANK(BZ164)),BZ164+BZ125,"")</f>
        <v/>
      </c>
      <c r="CA84" s="41" t="str">
        <f>+IF(NOT(ISBLANK(CA164)),CA164+CA125,"")</f>
        <v/>
      </c>
      <c r="CB84" s="41" t="str">
        <f>+IF(NOT(ISBLANK(CB164)),CB164+CB125,"")</f>
        <v/>
      </c>
      <c r="CC84" s="41" t="str">
        <f>+IF(NOT(ISBLANK(CC164)),CC164+CC125,"")</f>
        <v/>
      </c>
      <c r="CD84" s="41" t="str">
        <f>+IF(NOT(ISBLANK(CD164)),CD164+CD125,"")</f>
        <v/>
      </c>
      <c r="CE84" s="41" t="str">
        <f>+IF(NOT(ISBLANK(CE164)),CE164+CE125,"")</f>
        <v/>
      </c>
      <c r="CF84" s="41" t="str">
        <f>+IF(NOT(ISBLANK(CF164)),CF164+CF125,"")</f>
        <v/>
      </c>
      <c r="CG84" s="41" t="str">
        <f>+IF(NOT(ISBLANK(CG164)),CG164+CG125,"")</f>
        <v/>
      </c>
      <c r="CH84" s="41" t="str">
        <f>+IF(NOT(ISBLANK(CH164)),CH164+CH125,"")</f>
        <v/>
      </c>
      <c r="CI84" s="41" t="str">
        <f>+IF(NOT(ISBLANK(CI164)),CI164+CI125,"")</f>
        <v/>
      </c>
      <c r="CJ84" s="41" t="str">
        <f>+IF(NOT(ISBLANK(CJ164)),CJ164+CJ125,"")</f>
        <v/>
      </c>
      <c r="CK84" s="41" t="str">
        <f>+IF(NOT(ISBLANK(CK164)),CK164+CK125,"")</f>
        <v/>
      </c>
      <c r="CL84" s="41" t="str">
        <f>+IF(NOT(ISBLANK(CL164)),CL164+CL125,"")</f>
        <v/>
      </c>
      <c r="CM84" s="41" t="str">
        <f>+IF(NOT(ISBLANK(CM164)),CM164+CM125,"")</f>
        <v/>
      </c>
      <c r="CN84" s="41" t="str">
        <f>+IF(NOT(ISBLANK(CN164)),CN164+CN125,"")</f>
        <v/>
      </c>
      <c r="CO84" s="42"/>
      <c r="CP84" s="29">
        <f>+IF(NOT(ISBLANK(CP164)),CP164+CP125,"")</f>
        <v>-15</v>
      </c>
      <c r="CQ84" s="41"/>
      <c r="CR84" s="30">
        <f>+CP125/-CP164-1</f>
        <v>-1</v>
      </c>
      <c r="CS84" s="31">
        <f>+COUNT(D84:CO84)</f>
        <v>1</v>
      </c>
      <c r="CT84" s="31">
        <f>+COUNTIF(D125:CO125,"&gt;0")</f>
        <v>0</v>
      </c>
      <c r="CU84" s="30">
        <f t="shared" ref="CU84" si="156">+CT84/CS84</f>
        <v>0</v>
      </c>
      <c r="CV84" s="30">
        <f>+SUMIF($D125:$CO125,"&gt;0",$D125:$CO125)/-SUMIF($D164:$CO164,"&lt;0",$D$186:$CO$186)</f>
        <v>0</v>
      </c>
      <c r="CW84" s="30">
        <f>+SUMIF($D164:$CO164,"&lt;0",$D164:$CO164)/SUMIF($D164:$CO164,"&lt;0",$D$186:$CO$186)</f>
        <v>0.14285714285714285</v>
      </c>
      <c r="CX84" s="32">
        <f t="shared" ref="CX84" si="157">+CP84/CS84</f>
        <v>-15</v>
      </c>
    </row>
    <row r="85" spans="2:102" ht="12.75" hidden="1" customHeight="1" outlineLevel="1" x14ac:dyDescent="0.2">
      <c r="B85" s="33"/>
      <c r="C85" s="33" t="str">
        <f>+C126</f>
        <v>Eerika Ojantakanen</v>
      </c>
      <c r="D85" s="34" t="str">
        <f>+IF(NOT(ISBLANK(D165)),D165+D126,"")</f>
        <v/>
      </c>
      <c r="E85" s="34" t="str">
        <f>+IF(NOT(ISBLANK(E165)),E165+E126,"")</f>
        <v/>
      </c>
      <c r="F85" s="34" t="str">
        <f>+IF(NOT(ISBLANK(F165)),F165+F126,"")</f>
        <v/>
      </c>
      <c r="G85" s="34" t="str">
        <f>+IF(NOT(ISBLANK(G165)),G165+G126,"")</f>
        <v/>
      </c>
      <c r="H85" s="34" t="str">
        <f>+IF(NOT(ISBLANK(H165)),H165+H126,"")</f>
        <v/>
      </c>
      <c r="I85" s="34" t="str">
        <f>+IF(NOT(ISBLANK(I165)),I165+I126,"")</f>
        <v/>
      </c>
      <c r="J85" s="34" t="str">
        <f>+IF(NOT(ISBLANK(J165)),J165+J126,"")</f>
        <v/>
      </c>
      <c r="K85" s="34" t="str">
        <f>+IF(NOT(ISBLANK(K165)),K165+K126,"")</f>
        <v/>
      </c>
      <c r="L85" s="34" t="str">
        <f>+IF(NOT(ISBLANK(L165)),L165+L126,"")</f>
        <v/>
      </c>
      <c r="M85" s="34" t="str">
        <f>+IF(NOT(ISBLANK(M165)),M165+M126,"")</f>
        <v/>
      </c>
      <c r="N85" s="34" t="str">
        <f>+IF(NOT(ISBLANK(N165)),N165+N126,"")</f>
        <v/>
      </c>
      <c r="O85" s="34" t="str">
        <f>+IF(NOT(ISBLANK(O165)),O165+O126,"")</f>
        <v/>
      </c>
      <c r="P85" s="34" t="str">
        <f>+IF(NOT(ISBLANK(P165)),P165+P126,"")</f>
        <v/>
      </c>
      <c r="Q85" s="34" t="str">
        <f>+IF(NOT(ISBLANK(Q165)),Q165+Q126,"")</f>
        <v/>
      </c>
      <c r="R85" s="34" t="str">
        <f>+IF(NOT(ISBLANK(R165)),R165+R126,"")</f>
        <v/>
      </c>
      <c r="S85" s="34" t="str">
        <f>+IF(NOT(ISBLANK(S165)),S165+S126,"")</f>
        <v/>
      </c>
      <c r="T85" s="34" t="str">
        <f>+IF(NOT(ISBLANK(T165)),T165+T126,"")</f>
        <v/>
      </c>
      <c r="U85" s="34" t="str">
        <f>+IF(NOT(ISBLANK(U165)),U165+U126,"")</f>
        <v/>
      </c>
      <c r="V85" s="34" t="str">
        <f>+IF(NOT(ISBLANK(V165)),V165+V126,"")</f>
        <v/>
      </c>
      <c r="W85" s="34" t="str">
        <f>+IF(NOT(ISBLANK(W165)),W165+W126,"")</f>
        <v/>
      </c>
      <c r="X85" s="34">
        <f>+IF(NOT(ISBLANK(X165)),X165+X126,"")</f>
        <v>-15</v>
      </c>
      <c r="Y85" s="34" t="str">
        <f>+IF(NOT(ISBLANK(Y165)),Y165+Y126,"")</f>
        <v/>
      </c>
      <c r="Z85" s="34" t="str">
        <f>+IF(NOT(ISBLANK(Z165)),Z165+Z126,"")</f>
        <v/>
      </c>
      <c r="AA85" s="34" t="str">
        <f>+IF(NOT(ISBLANK(AA165)),AA165+AA126,"")</f>
        <v/>
      </c>
      <c r="AB85" s="34" t="str">
        <f>+IF(NOT(ISBLANK(AB165)),AB165+AB126,"")</f>
        <v/>
      </c>
      <c r="AC85" s="34" t="str">
        <f>+IF(NOT(ISBLANK(AC165)),AC165+AC126,"")</f>
        <v/>
      </c>
      <c r="AD85" s="34" t="str">
        <f>+IF(NOT(ISBLANK(AD165)),AD165+AD126,"")</f>
        <v/>
      </c>
      <c r="AE85" s="34" t="str">
        <f>+IF(NOT(ISBLANK(AE165)),AE165+AE126,"")</f>
        <v/>
      </c>
      <c r="AF85" s="34" t="str">
        <f>+IF(NOT(ISBLANK(AF165)),AF165+AF126,"")</f>
        <v/>
      </c>
      <c r="AG85" s="34" t="str">
        <f>+IF(NOT(ISBLANK(AG165)),AG165+AG126,"")</f>
        <v/>
      </c>
      <c r="AH85" s="34" t="str">
        <f>+IF(NOT(ISBLANK(AH165)),AH165+AH126,"")</f>
        <v/>
      </c>
      <c r="AI85" s="34" t="str">
        <f>+IF(NOT(ISBLANK(AI165)),AI165+AI126,"")</f>
        <v/>
      </c>
      <c r="AJ85" s="34" t="str">
        <f>+IF(NOT(ISBLANK(AJ165)),AJ165+AJ126,"")</f>
        <v/>
      </c>
      <c r="AK85" s="34" t="str">
        <f>+IF(NOT(ISBLANK(AK165)),AK165+AK126,"")</f>
        <v/>
      </c>
      <c r="AL85" s="34" t="str">
        <f>+IF(NOT(ISBLANK(AL165)),AL165+AL126,"")</f>
        <v/>
      </c>
      <c r="AM85" s="34" t="str">
        <f>+IF(NOT(ISBLANK(AM165)),AM165+AM126,"")</f>
        <v/>
      </c>
      <c r="AN85" s="34" t="str">
        <f>+IF(NOT(ISBLANK(AN165)),AN165+AN126,"")</f>
        <v/>
      </c>
      <c r="AO85" s="34" t="str">
        <f>+IF(NOT(ISBLANK(AO165)),AO165+AO126,"")</f>
        <v/>
      </c>
      <c r="AP85" s="34" t="str">
        <f>+IF(NOT(ISBLANK(AP165)),AP165+AP126,"")</f>
        <v/>
      </c>
      <c r="AQ85" s="34" t="str">
        <f>+IF(NOT(ISBLANK(AQ165)),AQ165+AQ126,"")</f>
        <v/>
      </c>
      <c r="AR85" s="34" t="str">
        <f>+IF(NOT(ISBLANK(AR165)),AR165+AR126,"")</f>
        <v/>
      </c>
      <c r="AS85" s="34" t="str">
        <f>+IF(NOT(ISBLANK(AS165)),AS165+AS126,"")</f>
        <v/>
      </c>
      <c r="AT85" s="34" t="str">
        <f>+IF(NOT(ISBLANK(AT165)),AT165+AT126,"")</f>
        <v/>
      </c>
      <c r="AU85" s="34" t="str">
        <f>+IF(NOT(ISBLANK(AU165)),AU165+AU126,"")</f>
        <v/>
      </c>
      <c r="AV85" s="34" t="str">
        <f>+IF(NOT(ISBLANK(AV165)),AV165+AV126,"")</f>
        <v/>
      </c>
      <c r="AW85" s="34" t="str">
        <f>+IF(NOT(ISBLANK(AW165)),AW165+AW126,"")</f>
        <v/>
      </c>
      <c r="AX85" s="34" t="str">
        <f>+IF(NOT(ISBLANK(AX165)),AX165+AX126,"")</f>
        <v/>
      </c>
      <c r="AY85" s="34" t="str">
        <f>+IF(NOT(ISBLANK(AY165)),AY165+AY126,"")</f>
        <v/>
      </c>
      <c r="AZ85" s="34" t="str">
        <f>+IF(NOT(ISBLANK(AZ165)),AZ165+AZ126,"")</f>
        <v/>
      </c>
      <c r="BA85" s="34" t="str">
        <f>+IF(NOT(ISBLANK(BA165)),BA165+BA126,"")</f>
        <v/>
      </c>
      <c r="BB85" s="34" t="str">
        <f>+IF(NOT(ISBLANK(BB165)),BB165+BB126,"")</f>
        <v/>
      </c>
      <c r="BC85" s="34" t="str">
        <f>+IF(NOT(ISBLANK(BC165)),BC165+BC126,"")</f>
        <v/>
      </c>
      <c r="BD85" s="34" t="str">
        <f>+IF(NOT(ISBLANK(BD165)),BD165+BD126,"")</f>
        <v/>
      </c>
      <c r="BE85" s="34" t="str">
        <f>+IF(NOT(ISBLANK(BE165)),BE165+BE126,"")</f>
        <v/>
      </c>
      <c r="BF85" s="34" t="str">
        <f>+IF(NOT(ISBLANK(BF165)),BF165+BF126,"")</f>
        <v/>
      </c>
      <c r="BG85" s="34" t="str">
        <f>+IF(NOT(ISBLANK(BG165)),BG165+BG126,"")</f>
        <v/>
      </c>
      <c r="BH85" s="34" t="str">
        <f>+IF(NOT(ISBLANK(BH165)),BH165+BH126,"")</f>
        <v/>
      </c>
      <c r="BI85" s="34" t="str">
        <f>+IF(NOT(ISBLANK(BI165)),BI165+BI126,"")</f>
        <v/>
      </c>
      <c r="BJ85" s="34" t="str">
        <f>+IF(NOT(ISBLANK(BJ165)),BJ165+BJ126,"")</f>
        <v/>
      </c>
      <c r="BK85" s="34" t="str">
        <f>+IF(NOT(ISBLANK(BK165)),BK165+BK126,"")</f>
        <v/>
      </c>
      <c r="BL85" s="34" t="str">
        <f>+IF(NOT(ISBLANK(BL165)),BL165+BL126,"")</f>
        <v/>
      </c>
      <c r="BM85" s="34" t="str">
        <f>+IF(NOT(ISBLANK(BM165)),BM165+BM126,"")</f>
        <v/>
      </c>
      <c r="BN85" s="34" t="str">
        <f>+IF(NOT(ISBLANK(BN165)),BN165+BN126,"")</f>
        <v/>
      </c>
      <c r="BO85" s="34" t="str">
        <f>+IF(NOT(ISBLANK(BO165)),BO165+BO126,"")</f>
        <v/>
      </c>
      <c r="BP85" s="34" t="str">
        <f>+IF(NOT(ISBLANK(BP165)),BP165+BP126,"")</f>
        <v/>
      </c>
      <c r="BQ85" s="34" t="str">
        <f>+IF(NOT(ISBLANK(BQ165)),BQ165+BQ126,"")</f>
        <v/>
      </c>
      <c r="BR85" s="34" t="str">
        <f>+IF(NOT(ISBLANK(BR165)),BR165+BR126,"")</f>
        <v/>
      </c>
      <c r="BS85" s="34" t="str">
        <f>+IF(NOT(ISBLANK(BS165)),BS165+BS126,"")</f>
        <v/>
      </c>
      <c r="BT85" s="34" t="str">
        <f>+IF(NOT(ISBLANK(BT165)),BT165+BT126,"")</f>
        <v/>
      </c>
      <c r="BU85" s="34" t="str">
        <f>+IF(NOT(ISBLANK(BU165)),BU165+BU126,"")</f>
        <v/>
      </c>
      <c r="BV85" s="34" t="str">
        <f>+IF(NOT(ISBLANK(BV165)),BV165+BV126,"")</f>
        <v/>
      </c>
      <c r="BW85" s="34" t="str">
        <f>+IF(NOT(ISBLANK(BW165)),BW165+BW126,"")</f>
        <v/>
      </c>
      <c r="BX85" s="34" t="str">
        <f>+IF(NOT(ISBLANK(BX165)),BX165+BX126,"")</f>
        <v/>
      </c>
      <c r="BY85" s="34" t="str">
        <f>+IF(NOT(ISBLANK(BY165)),BY165+BY126,"")</f>
        <v/>
      </c>
      <c r="BZ85" s="34" t="str">
        <f>+IF(NOT(ISBLANK(BZ165)),BZ165+BZ126,"")</f>
        <v/>
      </c>
      <c r="CA85" s="34" t="str">
        <f>+IF(NOT(ISBLANK(CA165)),CA165+CA126,"")</f>
        <v/>
      </c>
      <c r="CB85" s="34" t="str">
        <f>+IF(NOT(ISBLANK(CB165)),CB165+CB126,"")</f>
        <v/>
      </c>
      <c r="CC85" s="34" t="str">
        <f>+IF(NOT(ISBLANK(CC165)),CC165+CC126,"")</f>
        <v/>
      </c>
      <c r="CD85" s="34" t="str">
        <f>+IF(NOT(ISBLANK(CD165)),CD165+CD126,"")</f>
        <v/>
      </c>
      <c r="CE85" s="34" t="str">
        <f>+IF(NOT(ISBLANK(CE165)),CE165+CE126,"")</f>
        <v/>
      </c>
      <c r="CF85" s="34" t="str">
        <f>+IF(NOT(ISBLANK(CF165)),CF165+CF126,"")</f>
        <v/>
      </c>
      <c r="CG85" s="34" t="str">
        <f>+IF(NOT(ISBLANK(CG165)),CG165+CG126,"")</f>
        <v/>
      </c>
      <c r="CH85" s="34" t="str">
        <f>+IF(NOT(ISBLANK(CH165)),CH165+CH126,"")</f>
        <v/>
      </c>
      <c r="CI85" s="34" t="str">
        <f>+IF(NOT(ISBLANK(CI165)),CI165+CI126,"")</f>
        <v/>
      </c>
      <c r="CJ85" s="34" t="str">
        <f>+IF(NOT(ISBLANK(CJ165)),CJ165+CJ126,"")</f>
        <v/>
      </c>
      <c r="CK85" s="34" t="str">
        <f>+IF(NOT(ISBLANK(CK165)),CK165+CK126,"")</f>
        <v/>
      </c>
      <c r="CL85" s="34" t="str">
        <f>+IF(NOT(ISBLANK(CL165)),CL165+CL126,"")</f>
        <v/>
      </c>
      <c r="CM85" s="34" t="str">
        <f>+IF(NOT(ISBLANK(CM165)),CM165+CM126,"")</f>
        <v/>
      </c>
      <c r="CN85" s="34" t="str">
        <f>+IF(NOT(ISBLANK(CN165)),CN165+CN126,"")</f>
        <v/>
      </c>
      <c r="CO85" s="35"/>
      <c r="CP85" s="36">
        <f>+IF(NOT(ISBLANK(CP165)),CP165+CP126,"")</f>
        <v>-15</v>
      </c>
      <c r="CQ85" s="34"/>
      <c r="CR85" s="37">
        <f>+CP126/-CP165-1</f>
        <v>-1</v>
      </c>
      <c r="CS85" s="38">
        <f>+COUNT(D85:CO85)</f>
        <v>1</v>
      </c>
      <c r="CT85" s="38">
        <f>+COUNTIF(D126:CO126,"&gt;0")</f>
        <v>0</v>
      </c>
      <c r="CU85" s="37">
        <f>+CT85/CS85</f>
        <v>0</v>
      </c>
      <c r="CV85" s="37">
        <f>+SUMIF($D126:$CO126,"&gt;0",$D126:$CO126)/-SUMIF($D165:$CO165,"&lt;0",$D$186:$CO$186)</f>
        <v>0</v>
      </c>
      <c r="CW85" s="37">
        <f>+SUMIF($D165:$CO165,"&lt;0",$D165:$CO165)/SUMIF($D165:$CO165,"&lt;0",$D$186:$CO$186)</f>
        <v>0.14285714285714285</v>
      </c>
      <c r="CX85" s="39">
        <f>+CP85/CS85</f>
        <v>-15</v>
      </c>
    </row>
    <row r="86" spans="2:102" ht="12.75" hidden="1" customHeight="1" outlineLevel="1" x14ac:dyDescent="0.2">
      <c r="B86" s="40"/>
      <c r="C86" s="40" t="str">
        <f>+C127</f>
        <v>Otto von Boehm</v>
      </c>
      <c r="D86" s="41" t="str">
        <f>+IF(NOT(ISBLANK(D166)),D166+D127,"")</f>
        <v/>
      </c>
      <c r="E86" s="41" t="str">
        <f>+IF(NOT(ISBLANK(E166)),E166+E127,"")</f>
        <v/>
      </c>
      <c r="F86" s="41" t="str">
        <f>+IF(NOT(ISBLANK(F166)),F166+F127,"")</f>
        <v/>
      </c>
      <c r="G86" s="41" t="str">
        <f>+IF(NOT(ISBLANK(G166)),G166+G127,"")</f>
        <v/>
      </c>
      <c r="H86" s="41" t="str">
        <f>+IF(NOT(ISBLANK(H166)),H166+H127,"")</f>
        <v/>
      </c>
      <c r="I86" s="41" t="str">
        <f>+IF(NOT(ISBLANK(I166)),I166+I127,"")</f>
        <v/>
      </c>
      <c r="J86" s="41" t="str">
        <f>+IF(NOT(ISBLANK(J166)),J166+J127,"")</f>
        <v/>
      </c>
      <c r="K86" s="41" t="str">
        <f>+IF(NOT(ISBLANK(K166)),K166+K127,"")</f>
        <v/>
      </c>
      <c r="L86" s="41" t="str">
        <f>+IF(NOT(ISBLANK(L166)),L166+L127,"")</f>
        <v/>
      </c>
      <c r="M86" s="41" t="str">
        <f>+IF(NOT(ISBLANK(M166)),M166+M127,"")</f>
        <v/>
      </c>
      <c r="N86" s="41" t="str">
        <f>+IF(NOT(ISBLANK(N166)),N166+N127,"")</f>
        <v/>
      </c>
      <c r="O86" s="41" t="str">
        <f>+IF(NOT(ISBLANK(O166)),O166+O127,"")</f>
        <v/>
      </c>
      <c r="P86" s="41" t="str">
        <f>+IF(NOT(ISBLANK(P166)),P166+P127,"")</f>
        <v/>
      </c>
      <c r="Q86" s="41" t="str">
        <f>+IF(NOT(ISBLANK(Q166)),Q166+Q127,"")</f>
        <v/>
      </c>
      <c r="R86" s="41" t="str">
        <f>+IF(NOT(ISBLANK(R166)),R166+R127,"")</f>
        <v/>
      </c>
      <c r="S86" s="41" t="str">
        <f>+IF(NOT(ISBLANK(S166)),S166+S127,"")</f>
        <v/>
      </c>
      <c r="T86" s="41" t="str">
        <f>+IF(NOT(ISBLANK(T166)),T166+T127,"")</f>
        <v/>
      </c>
      <c r="U86" s="41" t="str">
        <f>+IF(NOT(ISBLANK(U166)),U166+U127,"")</f>
        <v/>
      </c>
      <c r="V86" s="41" t="str">
        <f>+IF(NOT(ISBLANK(V166)),V166+V127,"")</f>
        <v/>
      </c>
      <c r="W86" s="41" t="str">
        <f>+IF(NOT(ISBLANK(W166)),W166+W127,"")</f>
        <v/>
      </c>
      <c r="X86" s="41" t="str">
        <f>+IF(NOT(ISBLANK(X166)),X166+X127,"")</f>
        <v/>
      </c>
      <c r="Y86" s="41" t="str">
        <f>+IF(NOT(ISBLANK(Y166)),Y166+Y127,"")</f>
        <v/>
      </c>
      <c r="Z86" s="41">
        <f>+IF(NOT(ISBLANK(Z166)),Z166+Z127,"")</f>
        <v>-15</v>
      </c>
      <c r="AA86" s="41" t="str">
        <f>+IF(NOT(ISBLANK(AA166)),AA166+AA127,"")</f>
        <v/>
      </c>
      <c r="AB86" s="41" t="str">
        <f>+IF(NOT(ISBLANK(AB166)),AB166+AB127,"")</f>
        <v/>
      </c>
      <c r="AC86" s="41" t="str">
        <f>+IF(NOT(ISBLANK(AC166)),AC166+AC127,"")</f>
        <v/>
      </c>
      <c r="AD86" s="41" t="str">
        <f>+IF(NOT(ISBLANK(AD166)),AD166+AD127,"")</f>
        <v/>
      </c>
      <c r="AE86" s="41" t="str">
        <f>+IF(NOT(ISBLANK(AE166)),AE166+AE127,"")</f>
        <v/>
      </c>
      <c r="AF86" s="41" t="str">
        <f>+IF(NOT(ISBLANK(AF166)),AF166+AF127,"")</f>
        <v/>
      </c>
      <c r="AG86" s="41" t="str">
        <f>+IF(NOT(ISBLANK(AG166)),AG166+AG127,"")</f>
        <v/>
      </c>
      <c r="AH86" s="41" t="str">
        <f>+IF(NOT(ISBLANK(AH166)),AH166+AH127,"")</f>
        <v/>
      </c>
      <c r="AI86" s="41" t="str">
        <f>+IF(NOT(ISBLANK(AI166)),AI166+AI127,"")</f>
        <v/>
      </c>
      <c r="AJ86" s="41" t="str">
        <f>+IF(NOT(ISBLANK(AJ166)),AJ166+AJ127,"")</f>
        <v/>
      </c>
      <c r="AK86" s="41" t="str">
        <f>+IF(NOT(ISBLANK(AK166)),AK166+AK127,"")</f>
        <v/>
      </c>
      <c r="AL86" s="41" t="str">
        <f>+IF(NOT(ISBLANK(AL166)),AL166+AL127,"")</f>
        <v/>
      </c>
      <c r="AM86" s="41" t="str">
        <f>+IF(NOT(ISBLANK(AM166)),AM166+AM127,"")</f>
        <v/>
      </c>
      <c r="AN86" s="41" t="str">
        <f>+IF(NOT(ISBLANK(AN166)),AN166+AN127,"")</f>
        <v/>
      </c>
      <c r="AO86" s="41" t="str">
        <f>+IF(NOT(ISBLANK(AO166)),AO166+AO127,"")</f>
        <v/>
      </c>
      <c r="AP86" s="41" t="str">
        <f>+IF(NOT(ISBLANK(AP166)),AP166+AP127,"")</f>
        <v/>
      </c>
      <c r="AQ86" s="41" t="str">
        <f>+IF(NOT(ISBLANK(AQ166)),AQ166+AQ127,"")</f>
        <v/>
      </c>
      <c r="AR86" s="41" t="str">
        <f>+IF(NOT(ISBLANK(AR166)),AR166+AR127,"")</f>
        <v/>
      </c>
      <c r="AS86" s="41" t="str">
        <f>+IF(NOT(ISBLANK(AS166)),AS166+AS127,"")</f>
        <v/>
      </c>
      <c r="AT86" s="41" t="str">
        <f>+IF(NOT(ISBLANK(AT166)),AT166+AT127,"")</f>
        <v/>
      </c>
      <c r="AU86" s="41" t="str">
        <f>+IF(NOT(ISBLANK(AU166)),AU166+AU127,"")</f>
        <v/>
      </c>
      <c r="AV86" s="41" t="str">
        <f>+IF(NOT(ISBLANK(AV166)),AV166+AV127,"")</f>
        <v/>
      </c>
      <c r="AW86" s="41" t="str">
        <f>+IF(NOT(ISBLANK(AW166)),AW166+AW127,"")</f>
        <v/>
      </c>
      <c r="AX86" s="41" t="str">
        <f>+IF(NOT(ISBLANK(AX166)),AX166+AX127,"")</f>
        <v/>
      </c>
      <c r="AY86" s="41" t="str">
        <f>+IF(NOT(ISBLANK(AY166)),AY166+AY127,"")</f>
        <v/>
      </c>
      <c r="AZ86" s="41" t="str">
        <f>+IF(NOT(ISBLANK(AZ166)),AZ166+AZ127,"")</f>
        <v/>
      </c>
      <c r="BA86" s="41" t="str">
        <f>+IF(NOT(ISBLANK(BA166)),BA166+BA127,"")</f>
        <v/>
      </c>
      <c r="BB86" s="41" t="str">
        <f>+IF(NOT(ISBLANK(BB166)),BB166+BB127,"")</f>
        <v/>
      </c>
      <c r="BC86" s="41" t="str">
        <f>+IF(NOT(ISBLANK(BC166)),BC166+BC127,"")</f>
        <v/>
      </c>
      <c r="BD86" s="41" t="str">
        <f>+IF(NOT(ISBLANK(BD166)),BD166+BD127,"")</f>
        <v/>
      </c>
      <c r="BE86" s="41" t="str">
        <f>+IF(NOT(ISBLANK(BE166)),BE166+BE127,"")</f>
        <v/>
      </c>
      <c r="BF86" s="41" t="str">
        <f>+IF(NOT(ISBLANK(BF166)),BF166+BF127,"")</f>
        <v/>
      </c>
      <c r="BG86" s="41" t="str">
        <f>+IF(NOT(ISBLANK(BG166)),BG166+BG127,"")</f>
        <v/>
      </c>
      <c r="BH86" s="41" t="str">
        <f>+IF(NOT(ISBLANK(BH166)),BH166+BH127,"")</f>
        <v/>
      </c>
      <c r="BI86" s="41" t="str">
        <f>+IF(NOT(ISBLANK(BI166)),BI166+BI127,"")</f>
        <v/>
      </c>
      <c r="BJ86" s="41" t="str">
        <f>+IF(NOT(ISBLANK(BJ166)),BJ166+BJ127,"")</f>
        <v/>
      </c>
      <c r="BK86" s="41" t="str">
        <f>+IF(NOT(ISBLANK(BK166)),BK166+BK127,"")</f>
        <v/>
      </c>
      <c r="BL86" s="41" t="str">
        <f>+IF(NOT(ISBLANK(BL166)),BL166+BL127,"")</f>
        <v/>
      </c>
      <c r="BM86" s="41" t="str">
        <f>+IF(NOT(ISBLANK(BM166)),BM166+BM127,"")</f>
        <v/>
      </c>
      <c r="BN86" s="41" t="str">
        <f>+IF(NOT(ISBLANK(BN166)),BN166+BN127,"")</f>
        <v/>
      </c>
      <c r="BO86" s="41" t="str">
        <f>+IF(NOT(ISBLANK(BO166)),BO166+BO127,"")</f>
        <v/>
      </c>
      <c r="BP86" s="41" t="str">
        <f>+IF(NOT(ISBLANK(BP166)),BP166+BP127,"")</f>
        <v/>
      </c>
      <c r="BQ86" s="41" t="str">
        <f>+IF(NOT(ISBLANK(BQ166)),BQ166+BQ127,"")</f>
        <v/>
      </c>
      <c r="BR86" s="41" t="str">
        <f>+IF(NOT(ISBLANK(BR166)),BR166+BR127,"")</f>
        <v/>
      </c>
      <c r="BS86" s="41" t="str">
        <f>+IF(NOT(ISBLANK(BS166)),BS166+BS127,"")</f>
        <v/>
      </c>
      <c r="BT86" s="41" t="str">
        <f>+IF(NOT(ISBLANK(BT166)),BT166+BT127,"")</f>
        <v/>
      </c>
      <c r="BU86" s="41" t="str">
        <f>+IF(NOT(ISBLANK(BU166)),BU166+BU127,"")</f>
        <v/>
      </c>
      <c r="BV86" s="41" t="str">
        <f>+IF(NOT(ISBLANK(BV166)),BV166+BV127,"")</f>
        <v/>
      </c>
      <c r="BW86" s="41" t="str">
        <f>+IF(NOT(ISBLANK(BW166)),BW166+BW127,"")</f>
        <v/>
      </c>
      <c r="BX86" s="41" t="str">
        <f>+IF(NOT(ISBLANK(BX166)),BX166+BX127,"")</f>
        <v/>
      </c>
      <c r="BY86" s="41" t="str">
        <f>+IF(NOT(ISBLANK(BY166)),BY166+BY127,"")</f>
        <v/>
      </c>
      <c r="BZ86" s="41" t="str">
        <f>+IF(NOT(ISBLANK(BZ166)),BZ166+BZ127,"")</f>
        <v/>
      </c>
      <c r="CA86" s="41" t="str">
        <f>+IF(NOT(ISBLANK(CA166)),CA166+CA127,"")</f>
        <v/>
      </c>
      <c r="CB86" s="41" t="str">
        <f>+IF(NOT(ISBLANK(CB166)),CB166+CB127,"")</f>
        <v/>
      </c>
      <c r="CC86" s="41" t="str">
        <f>+IF(NOT(ISBLANK(CC166)),CC166+CC127,"")</f>
        <v/>
      </c>
      <c r="CD86" s="41" t="str">
        <f>+IF(NOT(ISBLANK(CD166)),CD166+CD127,"")</f>
        <v/>
      </c>
      <c r="CE86" s="41" t="str">
        <f>+IF(NOT(ISBLANK(CE166)),CE166+CE127,"")</f>
        <v/>
      </c>
      <c r="CF86" s="41" t="str">
        <f>+IF(NOT(ISBLANK(CF166)),CF166+CF127,"")</f>
        <v/>
      </c>
      <c r="CG86" s="41" t="str">
        <f>+IF(NOT(ISBLANK(CG166)),CG166+CG127,"")</f>
        <v/>
      </c>
      <c r="CH86" s="41" t="str">
        <f>+IF(NOT(ISBLANK(CH166)),CH166+CH127,"")</f>
        <v/>
      </c>
      <c r="CI86" s="41" t="str">
        <f>+IF(NOT(ISBLANK(CI166)),CI166+CI127,"")</f>
        <v/>
      </c>
      <c r="CJ86" s="41" t="str">
        <f>+IF(NOT(ISBLANK(CJ166)),CJ166+CJ127,"")</f>
        <v/>
      </c>
      <c r="CK86" s="41" t="str">
        <f>+IF(NOT(ISBLANK(CK166)),CK166+CK127,"")</f>
        <v/>
      </c>
      <c r="CL86" s="41" t="str">
        <f>+IF(NOT(ISBLANK(CL166)),CL166+CL127,"")</f>
        <v/>
      </c>
      <c r="CM86" s="41" t="str">
        <f>+IF(NOT(ISBLANK(CM166)),CM166+CM127,"")</f>
        <v/>
      </c>
      <c r="CN86" s="41" t="str">
        <f>+IF(NOT(ISBLANK(CN166)),CN166+CN127,"")</f>
        <v/>
      </c>
      <c r="CO86" s="42"/>
      <c r="CP86" s="29">
        <f>+IF(NOT(ISBLANK(CP166)),CP166+CP127,"")</f>
        <v>-15</v>
      </c>
      <c r="CQ86" s="41"/>
      <c r="CR86" s="30">
        <f>+CP127/-CP166-1</f>
        <v>-1</v>
      </c>
      <c r="CS86" s="31">
        <f>+COUNT(D86:CO86)</f>
        <v>1</v>
      </c>
      <c r="CT86" s="31">
        <f>+COUNTIF(D127:CO127,"&gt;0")</f>
        <v>0</v>
      </c>
      <c r="CU86" s="30">
        <f>+CT86/CS86</f>
        <v>0</v>
      </c>
      <c r="CV86" s="30">
        <f>+SUMIF($D127:$CO127,"&gt;0",$D127:$CO127)/-SUMIF($D166:$CO166,"&lt;0",$D$186:$CO$186)</f>
        <v>0</v>
      </c>
      <c r="CW86" s="30">
        <f>+SUMIF($D166:$CO166,"&lt;0",$D166:$CO166)/SUMIF($D166:$CO166,"&lt;0",$D$186:$CO$186)</f>
        <v>0.16666666666666666</v>
      </c>
      <c r="CX86" s="32">
        <f>+CP86/CS86</f>
        <v>-15</v>
      </c>
    </row>
    <row r="87" spans="2:102" ht="12.75" hidden="1" customHeight="1" outlineLevel="1" x14ac:dyDescent="0.2">
      <c r="B87" s="33"/>
      <c r="C87" s="33" t="str">
        <f>+C128</f>
        <v>Samuli Laakko</v>
      </c>
      <c r="D87" s="34" t="str">
        <f>+IF(NOT(ISBLANK(D167)),D167+D128,"")</f>
        <v/>
      </c>
      <c r="E87" s="34" t="str">
        <f>+IF(NOT(ISBLANK(E167)),E167+E128,"")</f>
        <v/>
      </c>
      <c r="F87" s="34" t="str">
        <f>+IF(NOT(ISBLANK(F167)),F167+F128,"")</f>
        <v/>
      </c>
      <c r="G87" s="34" t="str">
        <f>+IF(NOT(ISBLANK(G167)),G167+G128,"")</f>
        <v/>
      </c>
      <c r="H87" s="34" t="str">
        <f>+IF(NOT(ISBLANK(H167)),H167+H128,"")</f>
        <v/>
      </c>
      <c r="I87" s="34" t="str">
        <f>+IF(NOT(ISBLANK(I167)),I167+I128,"")</f>
        <v/>
      </c>
      <c r="J87" s="34" t="str">
        <f>+IF(NOT(ISBLANK(J167)),J167+J128,"")</f>
        <v/>
      </c>
      <c r="K87" s="34" t="str">
        <f>+IF(NOT(ISBLANK(K167)),K167+K128,"")</f>
        <v/>
      </c>
      <c r="L87" s="34" t="str">
        <f>+IF(NOT(ISBLANK(L167)),L167+L128,"")</f>
        <v/>
      </c>
      <c r="M87" s="34" t="str">
        <f>+IF(NOT(ISBLANK(M167)),M167+M128,"")</f>
        <v/>
      </c>
      <c r="N87" s="34" t="str">
        <f>+IF(NOT(ISBLANK(N167)),N167+N128,"")</f>
        <v/>
      </c>
      <c r="O87" s="34" t="str">
        <f>+IF(NOT(ISBLANK(O167)),O167+O128,"")</f>
        <v/>
      </c>
      <c r="P87" s="34" t="str">
        <f>+IF(NOT(ISBLANK(P167)),P167+P128,"")</f>
        <v/>
      </c>
      <c r="Q87" s="34" t="str">
        <f>+IF(NOT(ISBLANK(Q167)),Q167+Q128,"")</f>
        <v/>
      </c>
      <c r="R87" s="34" t="str">
        <f>+IF(NOT(ISBLANK(R167)),R167+R128,"")</f>
        <v/>
      </c>
      <c r="S87" s="34" t="str">
        <f>+IF(NOT(ISBLANK(S167)),S167+S128,"")</f>
        <v/>
      </c>
      <c r="T87" s="34" t="str">
        <f>+IF(NOT(ISBLANK(T167)),T167+T128,"")</f>
        <v/>
      </c>
      <c r="U87" s="34" t="str">
        <f>+IF(NOT(ISBLANK(U167)),U167+U128,"")</f>
        <v/>
      </c>
      <c r="V87" s="34" t="str">
        <f>+IF(NOT(ISBLANK(V167)),V167+V128,"")</f>
        <v/>
      </c>
      <c r="W87" s="34" t="str">
        <f>+IF(NOT(ISBLANK(W167)),W167+W128,"")</f>
        <v/>
      </c>
      <c r="X87" s="34" t="str">
        <f>+IF(NOT(ISBLANK(X167)),X167+X128,"")</f>
        <v/>
      </c>
      <c r="Y87" s="34" t="str">
        <f>+IF(NOT(ISBLANK(Y167)),Y167+Y128,"")</f>
        <v/>
      </c>
      <c r="Z87" s="34" t="str">
        <f>+IF(NOT(ISBLANK(Z167)),Z167+Z128,"")</f>
        <v/>
      </c>
      <c r="AA87" s="34" t="str">
        <f>+IF(NOT(ISBLANK(AA167)),AA167+AA128,"")</f>
        <v/>
      </c>
      <c r="AB87" s="34">
        <f>+IF(NOT(ISBLANK(AB167)),AB167+AB128,"")</f>
        <v>90</v>
      </c>
      <c r="AC87" s="34">
        <f>+IF(NOT(ISBLANK(AC167)),AC167+AC128,"")</f>
        <v>-15</v>
      </c>
      <c r="AD87" s="34">
        <f>+IF(NOT(ISBLANK(AD167)),AD167+AD128,"")</f>
        <v>-15</v>
      </c>
      <c r="AE87" s="34">
        <f>+IF(NOT(ISBLANK(AE167)),AE167+AE128,"")</f>
        <v>-60</v>
      </c>
      <c r="AF87" s="34" t="str">
        <f>+IF(NOT(ISBLANK(AF167)),AF167+AF128,"")</f>
        <v/>
      </c>
      <c r="AG87" s="34" t="str">
        <f>+IF(NOT(ISBLANK(AG167)),AG167+AG128,"")</f>
        <v/>
      </c>
      <c r="AH87" s="34">
        <f>+IF(NOT(ISBLANK(AH167)),AH167+AH128,"")</f>
        <v>-30</v>
      </c>
      <c r="AI87" s="34" t="str">
        <f>+IF(NOT(ISBLANK(AI167)),AI167+AI128,"")</f>
        <v/>
      </c>
      <c r="AJ87" s="34" t="str">
        <f>+IF(NOT(ISBLANK(AJ167)),AJ167+AJ128,"")</f>
        <v/>
      </c>
      <c r="AK87" s="34" t="str">
        <f>+IF(NOT(ISBLANK(AK167)),AK167+AK128,"")</f>
        <v/>
      </c>
      <c r="AL87" s="34">
        <f>+IF(NOT(ISBLANK(AL167)),AL167+AL128,"")</f>
        <v>-45</v>
      </c>
      <c r="AM87" s="34">
        <f>+IF(NOT(ISBLANK(AM167)),AM167+AM128,"")</f>
        <v>-30</v>
      </c>
      <c r="AN87" s="34" t="str">
        <f>+IF(NOT(ISBLANK(AN167)),AN167+AN128,"")</f>
        <v/>
      </c>
      <c r="AO87" s="34" t="str">
        <f>+IF(NOT(ISBLANK(AO167)),AO167+AO128,"")</f>
        <v/>
      </c>
      <c r="AP87" s="34" t="str">
        <f>+IF(NOT(ISBLANK(AP167)),AP167+AP128,"")</f>
        <v/>
      </c>
      <c r="AQ87" s="34" t="str">
        <f>+IF(NOT(ISBLANK(AQ167)),AQ167+AQ128,"")</f>
        <v/>
      </c>
      <c r="AR87" s="34">
        <f>+IF(NOT(ISBLANK(AR167)),AR167+AR128,"")</f>
        <v>-15</v>
      </c>
      <c r="AS87" s="34" t="str">
        <f>+IF(NOT(ISBLANK(AS167)),AS167+AS128,"")</f>
        <v/>
      </c>
      <c r="AT87" s="34">
        <f>+IF(NOT(ISBLANK(AT167)),AT167+AT128,"")</f>
        <v>-30</v>
      </c>
      <c r="AU87" s="34" t="str">
        <f>+IF(NOT(ISBLANK(AU167)),AU167+AU128,"")</f>
        <v/>
      </c>
      <c r="AV87" s="34" t="str">
        <f>+IF(NOT(ISBLANK(AV167)),AV167+AV128,"")</f>
        <v/>
      </c>
      <c r="AW87" s="34" t="str">
        <f>+IF(NOT(ISBLANK(AW167)),AW167+AW128,"")</f>
        <v/>
      </c>
      <c r="AX87" s="34" t="str">
        <f>+IF(NOT(ISBLANK(AX167)),AX167+AX128,"")</f>
        <v/>
      </c>
      <c r="AY87" s="34" t="str">
        <f>+IF(NOT(ISBLANK(AY167)),AY167+AY128,"")</f>
        <v/>
      </c>
      <c r="AZ87" s="34" t="str">
        <f>+IF(NOT(ISBLANK(AZ167)),AZ167+AZ128,"")</f>
        <v/>
      </c>
      <c r="BA87" s="34">
        <f>+IF(NOT(ISBLANK(BA167)),BA167+BA128,"")</f>
        <v>80</v>
      </c>
      <c r="BB87" s="34" t="str">
        <f>+IF(NOT(ISBLANK(BB167)),BB167+BB128,"")</f>
        <v/>
      </c>
      <c r="BC87" s="34" t="str">
        <f>+IF(NOT(ISBLANK(BC167)),BC167+BC128,"")</f>
        <v/>
      </c>
      <c r="BD87" s="34" t="str">
        <f>+IF(NOT(ISBLANK(BD167)),BD167+BD128,"")</f>
        <v/>
      </c>
      <c r="BE87" s="34">
        <f>+IF(NOT(ISBLANK(BE167)),BE167+BE128,"")</f>
        <v>-10</v>
      </c>
      <c r="BF87" s="34">
        <f>+IF(NOT(ISBLANK(BF167)),BF167+BF128,"")</f>
        <v>-10</v>
      </c>
      <c r="BG87" s="34" t="str">
        <f>+IF(NOT(ISBLANK(BG167)),BG167+BG128,"")</f>
        <v/>
      </c>
      <c r="BH87" s="34">
        <f>+IF(NOT(ISBLANK(BH167)),BH167+BH128,"")</f>
        <v>-60</v>
      </c>
      <c r="BI87" s="34">
        <f>+IF(NOT(ISBLANK(BI167)),BI167+BI128,"")</f>
        <v>-20</v>
      </c>
      <c r="BJ87" s="34" t="str">
        <f>+IF(NOT(ISBLANK(BJ167)),BJ167+BJ128,"")</f>
        <v/>
      </c>
      <c r="BK87" s="34">
        <f>+IF(NOT(ISBLANK(BK167)),BK167+BK128,"")</f>
        <v>-20</v>
      </c>
      <c r="BL87" s="34" t="str">
        <f>+IF(NOT(ISBLANK(BL167)),BL167+BL128,"")</f>
        <v/>
      </c>
      <c r="BM87" s="34" t="str">
        <f>+IF(NOT(ISBLANK(BM167)),BM167+BM128,"")</f>
        <v/>
      </c>
      <c r="BN87" s="34" t="str">
        <f>+IF(NOT(ISBLANK(BN167)),BN167+BN128,"")</f>
        <v/>
      </c>
      <c r="BO87" s="34">
        <f>+IF(NOT(ISBLANK(BO167)),BO167+BO128,"")</f>
        <v>-40</v>
      </c>
      <c r="BP87" s="34">
        <f>+IF(NOT(ISBLANK(BP167)),BP167+BP128,"")</f>
        <v>-80</v>
      </c>
      <c r="BQ87" s="34">
        <f>+IF(NOT(ISBLANK(BQ167)),BQ167+BQ128,"")</f>
        <v>-20</v>
      </c>
      <c r="BR87" s="34" t="str">
        <f>+IF(NOT(ISBLANK(BR167)),BR167+BR128,"")</f>
        <v/>
      </c>
      <c r="BS87" s="34" t="str">
        <f>+IF(NOT(ISBLANK(BS167)),BS167+BS128,"")</f>
        <v/>
      </c>
      <c r="BT87" s="34" t="str">
        <f>+IF(NOT(ISBLANK(BT167)),BT167+BT128,"")</f>
        <v/>
      </c>
      <c r="BU87" s="34" t="str">
        <f>+IF(NOT(ISBLANK(BU167)),BU167+BU128,"")</f>
        <v/>
      </c>
      <c r="BV87" s="34" t="str">
        <f>+IF(NOT(ISBLANK(BV167)),BV167+BV128,"")</f>
        <v/>
      </c>
      <c r="BW87" s="34">
        <f>+IF(NOT(ISBLANK(BW167)),BW167+BW128,"")</f>
        <v>-20</v>
      </c>
      <c r="BX87" s="34">
        <f>+IF(NOT(ISBLANK(BX167)),BX167+BX128,"")</f>
        <v>37.5</v>
      </c>
      <c r="BY87" s="34">
        <f>+IF(NOT(ISBLANK(BY167)),BY167+BY128,"")</f>
        <v>-100</v>
      </c>
      <c r="BZ87" s="34">
        <f>+IF(NOT(ISBLANK(BZ167)),BZ167+BZ128,"")</f>
        <v>-20</v>
      </c>
      <c r="CA87" s="34" t="str">
        <f>+IF(NOT(ISBLANK(CA167)),CA167+CA128,"")</f>
        <v/>
      </c>
      <c r="CB87" s="34" t="str">
        <f>+IF(NOT(ISBLANK(CB167)),CB167+CB128,"")</f>
        <v/>
      </c>
      <c r="CC87" s="34" t="str">
        <f>+IF(NOT(ISBLANK(CC167)),CC167+CC128,"")</f>
        <v/>
      </c>
      <c r="CD87" s="34" t="str">
        <f>+IF(NOT(ISBLANK(CD167)),CD167+CD128,"")</f>
        <v/>
      </c>
      <c r="CE87" s="34" t="str">
        <f>+IF(NOT(ISBLANK(CE167)),CE167+CE128,"")</f>
        <v/>
      </c>
      <c r="CF87" s="34" t="str">
        <f>+IF(NOT(ISBLANK(CF167)),CF167+CF128,"")</f>
        <v/>
      </c>
      <c r="CG87" s="34" t="str">
        <f>+IF(NOT(ISBLANK(CG167)),CG167+CG128,"")</f>
        <v/>
      </c>
      <c r="CH87" s="34">
        <f>+IF(NOT(ISBLANK(CH167)),CH167+CH128,"")</f>
        <v>-30</v>
      </c>
      <c r="CI87" s="34" t="str">
        <f>+IF(NOT(ISBLANK(CI167)),CI167+CI128,"")</f>
        <v/>
      </c>
      <c r="CJ87" s="34">
        <f>+IF(NOT(ISBLANK(CJ167)),CJ167+CJ128,"")</f>
        <v>80</v>
      </c>
      <c r="CK87" s="34">
        <f>+IF(NOT(ISBLANK(CK167)),CK167+CK128,"")</f>
        <v>-25</v>
      </c>
      <c r="CL87" s="34">
        <f>+IF(NOT(ISBLANK(CL167)),CL167+CL128,"")</f>
        <v>-90</v>
      </c>
      <c r="CM87" s="34">
        <f>+IF(NOT(ISBLANK(CM167)),CM167+CM128,"")</f>
        <v>0</v>
      </c>
      <c r="CN87" s="34">
        <f>+IF(NOT(ISBLANK(CN167)),CN167+CN128,"")</f>
        <v>6</v>
      </c>
      <c r="CO87" s="35"/>
      <c r="CP87" s="36">
        <f>+IF(NOT(ISBLANK(CP167)),CP167+CP128,"")</f>
        <v>-491.5</v>
      </c>
      <c r="CQ87" s="34"/>
      <c r="CR87" s="37">
        <f>+CP128/-CP167-1</f>
        <v>-0.48663366336633662</v>
      </c>
      <c r="CS87" s="38">
        <f>+COUNT(D87:CO87)</f>
        <v>28</v>
      </c>
      <c r="CT87" s="38">
        <f>+COUNTIF(D128:CO128,"&gt;0")</f>
        <v>6</v>
      </c>
      <c r="CU87" s="37">
        <f>+CT87/CS87</f>
        <v>0.21428571428571427</v>
      </c>
      <c r="CV87" s="37">
        <f>+SUMIF($D128:$CO128,"&gt;0",$D128:$CO128)/-SUMIF($D167:$CO167,"&lt;0",$D$186:$CO$186)</f>
        <v>0.10592441266598571</v>
      </c>
      <c r="CW87" s="37">
        <f>+SUMIF($D167:$CO167,"&lt;0",$D167:$CO167)/SUMIF($D167:$CO167,"&lt;0",$D$186:$CO$186)</f>
        <v>0.20633299284984677</v>
      </c>
      <c r="CX87" s="39">
        <f>+CP87/CS87</f>
        <v>-17.553571428571427</v>
      </c>
    </row>
    <row r="88" spans="2:102" ht="12.75" hidden="1" customHeight="1" outlineLevel="1" x14ac:dyDescent="0.2">
      <c r="B88" s="40"/>
      <c r="C88" s="40" t="str">
        <f>+C129</f>
        <v>Otto Palkama</v>
      </c>
      <c r="D88" s="41" t="str">
        <f>+IF(NOT(ISBLANK(D168)),D168+D129,"")</f>
        <v/>
      </c>
      <c r="E88" s="41" t="str">
        <f>+IF(NOT(ISBLANK(E168)),E168+E129,"")</f>
        <v/>
      </c>
      <c r="F88" s="41" t="str">
        <f>+IF(NOT(ISBLANK(F168)),F168+F129,"")</f>
        <v/>
      </c>
      <c r="G88" s="41" t="str">
        <f>+IF(NOT(ISBLANK(G168)),G168+G129,"")</f>
        <v/>
      </c>
      <c r="H88" s="41" t="str">
        <f>+IF(NOT(ISBLANK(H168)),H168+H129,"")</f>
        <v/>
      </c>
      <c r="I88" s="41" t="str">
        <f>+IF(NOT(ISBLANK(I168)),I168+I129,"")</f>
        <v/>
      </c>
      <c r="J88" s="41" t="str">
        <f>+IF(NOT(ISBLANK(J168)),J168+J129,"")</f>
        <v/>
      </c>
      <c r="K88" s="41" t="str">
        <f>+IF(NOT(ISBLANK(K168)),K168+K129,"")</f>
        <v/>
      </c>
      <c r="L88" s="41" t="str">
        <f>+IF(NOT(ISBLANK(L168)),L168+L129,"")</f>
        <v/>
      </c>
      <c r="M88" s="41" t="str">
        <f>+IF(NOT(ISBLANK(M168)),M168+M129,"")</f>
        <v/>
      </c>
      <c r="N88" s="41" t="str">
        <f>+IF(NOT(ISBLANK(N168)),N168+N129,"")</f>
        <v/>
      </c>
      <c r="O88" s="41" t="str">
        <f>+IF(NOT(ISBLANK(O168)),O168+O129,"")</f>
        <v/>
      </c>
      <c r="P88" s="41" t="str">
        <f>+IF(NOT(ISBLANK(P168)),P168+P129,"")</f>
        <v/>
      </c>
      <c r="Q88" s="41" t="str">
        <f>+IF(NOT(ISBLANK(Q168)),Q168+Q129,"")</f>
        <v/>
      </c>
      <c r="R88" s="41" t="str">
        <f>+IF(NOT(ISBLANK(R168)),R168+R129,"")</f>
        <v/>
      </c>
      <c r="S88" s="41" t="str">
        <f>+IF(NOT(ISBLANK(S168)),S168+S129,"")</f>
        <v/>
      </c>
      <c r="T88" s="41" t="str">
        <f>+IF(NOT(ISBLANK(T168)),T168+T129,"")</f>
        <v/>
      </c>
      <c r="U88" s="41" t="str">
        <f>+IF(NOT(ISBLANK(U168)),U168+U129,"")</f>
        <v/>
      </c>
      <c r="V88" s="41" t="str">
        <f>+IF(NOT(ISBLANK(V168)),V168+V129,"")</f>
        <v/>
      </c>
      <c r="W88" s="41" t="str">
        <f>+IF(NOT(ISBLANK(W168)),W168+W129,"")</f>
        <v/>
      </c>
      <c r="X88" s="41" t="str">
        <f>+IF(NOT(ISBLANK(X168)),X168+X129,"")</f>
        <v/>
      </c>
      <c r="Y88" s="41" t="str">
        <f>+IF(NOT(ISBLANK(Y168)),Y168+Y129,"")</f>
        <v/>
      </c>
      <c r="Z88" s="41" t="str">
        <f>+IF(NOT(ISBLANK(Z168)),Z168+Z129,"")</f>
        <v/>
      </c>
      <c r="AA88" s="41" t="str">
        <f>+IF(NOT(ISBLANK(AA168)),AA168+AA129,"")</f>
        <v/>
      </c>
      <c r="AB88" s="41" t="str">
        <f>+IF(NOT(ISBLANK(AB168)),AB168+AB129,"")</f>
        <v/>
      </c>
      <c r="AC88" s="41" t="str">
        <f>+IF(NOT(ISBLANK(AC168)),AC168+AC129,"")</f>
        <v/>
      </c>
      <c r="AD88" s="41" t="str">
        <f>+IF(NOT(ISBLANK(AD168)),AD168+AD129,"")</f>
        <v/>
      </c>
      <c r="AE88" s="41" t="str">
        <f>+IF(NOT(ISBLANK(AE168)),AE168+AE129,"")</f>
        <v/>
      </c>
      <c r="AF88" s="41" t="str">
        <f>+IF(NOT(ISBLANK(AF168)),AF168+AF129,"")</f>
        <v/>
      </c>
      <c r="AG88" s="41" t="str">
        <f>+IF(NOT(ISBLANK(AG168)),AG168+AG129,"")</f>
        <v/>
      </c>
      <c r="AH88" s="41" t="str">
        <f>+IF(NOT(ISBLANK(AH168)),AH168+AH129,"")</f>
        <v/>
      </c>
      <c r="AI88" s="41" t="str">
        <f>+IF(NOT(ISBLANK(AI168)),AI168+AI129,"")</f>
        <v/>
      </c>
      <c r="AJ88" s="41" t="str">
        <f>+IF(NOT(ISBLANK(AJ168)),AJ168+AJ129,"")</f>
        <v/>
      </c>
      <c r="AK88" s="41" t="str">
        <f>+IF(NOT(ISBLANK(AK168)),AK168+AK129,"")</f>
        <v/>
      </c>
      <c r="AL88" s="41" t="str">
        <f>+IF(NOT(ISBLANK(AL168)),AL168+AL129,"")</f>
        <v/>
      </c>
      <c r="AM88" s="41" t="str">
        <f>+IF(NOT(ISBLANK(AM168)),AM168+AM129,"")</f>
        <v/>
      </c>
      <c r="AN88" s="41" t="str">
        <f>+IF(NOT(ISBLANK(AN168)),AN168+AN129,"")</f>
        <v/>
      </c>
      <c r="AO88" s="41" t="str">
        <f>+IF(NOT(ISBLANK(AO168)),AO168+AO129,"")</f>
        <v/>
      </c>
      <c r="AP88" s="41" t="str">
        <f>+IF(NOT(ISBLANK(AP168)),AP168+AP129,"")</f>
        <v/>
      </c>
      <c r="AQ88" s="41" t="str">
        <f>+IF(NOT(ISBLANK(AQ168)),AQ168+AQ129,"")</f>
        <v/>
      </c>
      <c r="AR88" s="41" t="str">
        <f>+IF(NOT(ISBLANK(AR168)),AR168+AR129,"")</f>
        <v/>
      </c>
      <c r="AS88" s="41">
        <f>+IF(NOT(ISBLANK(AS168)),AS168+AS129,"")</f>
        <v>154.375</v>
      </c>
      <c r="AT88" s="41" t="str">
        <f>+IF(NOT(ISBLANK(AT168)),AT168+AT129,"")</f>
        <v/>
      </c>
      <c r="AU88" s="41" t="str">
        <f>+IF(NOT(ISBLANK(AU168)),AU168+AU129,"")</f>
        <v/>
      </c>
      <c r="AV88" s="41" t="str">
        <f>+IF(NOT(ISBLANK(AV168)),AV168+AV129,"")</f>
        <v/>
      </c>
      <c r="AW88" s="41" t="str">
        <f>+IF(NOT(ISBLANK(AW168)),AW168+AW129,"")</f>
        <v/>
      </c>
      <c r="AX88" s="41" t="str">
        <f>+IF(NOT(ISBLANK(AX168)),AX168+AX129,"")</f>
        <v/>
      </c>
      <c r="AY88" s="41" t="str">
        <f>+IF(NOT(ISBLANK(AY168)),AY168+AY129,"")</f>
        <v/>
      </c>
      <c r="AZ88" s="41" t="str">
        <f>+IF(NOT(ISBLANK(AZ168)),AZ168+AZ129,"")</f>
        <v/>
      </c>
      <c r="BA88" s="41" t="str">
        <f>+IF(NOT(ISBLANK(BA168)),BA168+BA129,"")</f>
        <v/>
      </c>
      <c r="BB88" s="41" t="str">
        <f>+IF(NOT(ISBLANK(BB168)),BB168+BB129,"")</f>
        <v/>
      </c>
      <c r="BC88" s="41" t="str">
        <f>+IF(NOT(ISBLANK(BC168)),BC168+BC129,"")</f>
        <v/>
      </c>
      <c r="BD88" s="41" t="str">
        <f>+IF(NOT(ISBLANK(BD168)),BD168+BD129,"")</f>
        <v/>
      </c>
      <c r="BE88" s="41" t="str">
        <f>+IF(NOT(ISBLANK(BE168)),BE168+BE129,"")</f>
        <v/>
      </c>
      <c r="BF88" s="41" t="str">
        <f>+IF(NOT(ISBLANK(BF168)),BF168+BF129,"")</f>
        <v/>
      </c>
      <c r="BG88" s="41" t="str">
        <f>+IF(NOT(ISBLANK(BG168)),BG168+BG129,"")</f>
        <v/>
      </c>
      <c r="BH88" s="41" t="str">
        <f>+IF(NOT(ISBLANK(BH168)),BH168+BH129,"")</f>
        <v/>
      </c>
      <c r="BI88" s="41" t="str">
        <f>+IF(NOT(ISBLANK(BI168)),BI168+BI129,"")</f>
        <v/>
      </c>
      <c r="BJ88" s="41" t="str">
        <f>+IF(NOT(ISBLANK(BJ168)),BJ168+BJ129,"")</f>
        <v/>
      </c>
      <c r="BK88" s="41" t="str">
        <f>+IF(NOT(ISBLANK(BK168)),BK168+BK129,"")</f>
        <v/>
      </c>
      <c r="BL88" s="41" t="str">
        <f>+IF(NOT(ISBLANK(BL168)),BL168+BL129,"")</f>
        <v/>
      </c>
      <c r="BM88" s="41" t="str">
        <f>+IF(NOT(ISBLANK(BM168)),BM168+BM129,"")</f>
        <v/>
      </c>
      <c r="BN88" s="41" t="str">
        <f>+IF(NOT(ISBLANK(BN168)),BN168+BN129,"")</f>
        <v/>
      </c>
      <c r="BO88" s="41" t="str">
        <f>+IF(NOT(ISBLANK(BO168)),BO168+BO129,"")</f>
        <v/>
      </c>
      <c r="BP88" s="41" t="str">
        <f>+IF(NOT(ISBLANK(BP168)),BP168+BP129,"")</f>
        <v/>
      </c>
      <c r="BQ88" s="41" t="str">
        <f>+IF(NOT(ISBLANK(BQ168)),BQ168+BQ129,"")</f>
        <v/>
      </c>
      <c r="BR88" s="41" t="str">
        <f>+IF(NOT(ISBLANK(BR168)),BR168+BR129,"")</f>
        <v/>
      </c>
      <c r="BS88" s="41" t="str">
        <f>+IF(NOT(ISBLANK(BS168)),BS168+BS129,"")</f>
        <v/>
      </c>
      <c r="BT88" s="41" t="str">
        <f>+IF(NOT(ISBLANK(BT168)),BT168+BT129,"")</f>
        <v/>
      </c>
      <c r="BU88" s="41" t="str">
        <f>+IF(NOT(ISBLANK(BU168)),BU168+BU129,"")</f>
        <v/>
      </c>
      <c r="BV88" s="41" t="str">
        <f>+IF(NOT(ISBLANK(BV168)),BV168+BV129,"")</f>
        <v/>
      </c>
      <c r="BW88" s="41" t="str">
        <f>+IF(NOT(ISBLANK(BW168)),BW168+BW129,"")</f>
        <v/>
      </c>
      <c r="BX88" s="41" t="str">
        <f>+IF(NOT(ISBLANK(BX168)),BX168+BX129,"")</f>
        <v/>
      </c>
      <c r="BY88" s="41" t="str">
        <f>+IF(NOT(ISBLANK(BY168)),BY168+BY129,"")</f>
        <v/>
      </c>
      <c r="BZ88" s="41" t="str">
        <f>+IF(NOT(ISBLANK(BZ168)),BZ168+BZ129,"")</f>
        <v/>
      </c>
      <c r="CA88" s="41" t="str">
        <f>+IF(NOT(ISBLANK(CA168)),CA168+CA129,"")</f>
        <v/>
      </c>
      <c r="CB88" s="41" t="str">
        <f>+IF(NOT(ISBLANK(CB168)),CB168+CB129,"")</f>
        <v/>
      </c>
      <c r="CC88" s="41" t="str">
        <f>+IF(NOT(ISBLANK(CC168)),CC168+CC129,"")</f>
        <v/>
      </c>
      <c r="CD88" s="41" t="str">
        <f>+IF(NOT(ISBLANK(CD168)),CD168+CD129,"")</f>
        <v/>
      </c>
      <c r="CE88" s="41" t="str">
        <f>+IF(NOT(ISBLANK(CE168)),CE168+CE129,"")</f>
        <v/>
      </c>
      <c r="CF88" s="41" t="str">
        <f>+IF(NOT(ISBLANK(CF168)),CF168+CF129,"")</f>
        <v/>
      </c>
      <c r="CG88" s="41" t="str">
        <f>+IF(NOT(ISBLANK(CG168)),CG168+CG129,"")</f>
        <v/>
      </c>
      <c r="CH88" s="41" t="str">
        <f>+IF(NOT(ISBLANK(CH168)),CH168+CH129,"")</f>
        <v/>
      </c>
      <c r="CI88" s="41" t="str">
        <f>+IF(NOT(ISBLANK(CI168)),CI168+CI129,"")</f>
        <v/>
      </c>
      <c r="CJ88" s="41" t="str">
        <f>+IF(NOT(ISBLANK(CJ168)),CJ168+CJ129,"")</f>
        <v/>
      </c>
      <c r="CK88" s="41" t="str">
        <f>+IF(NOT(ISBLANK(CK168)),CK168+CK129,"")</f>
        <v/>
      </c>
      <c r="CL88" s="41" t="str">
        <f>+IF(NOT(ISBLANK(CL168)),CL168+CL129,"")</f>
        <v/>
      </c>
      <c r="CM88" s="41" t="str">
        <f>+IF(NOT(ISBLANK(CM168)),CM168+CM129,"")</f>
        <v/>
      </c>
      <c r="CN88" s="41" t="str">
        <f>+IF(NOT(ISBLANK(CN168)),CN168+CN129,"")</f>
        <v/>
      </c>
      <c r="CO88" s="42"/>
      <c r="CP88" s="29">
        <f>+IF(NOT(ISBLANK(CP168)),CP168+CP129,"")</f>
        <v>154.375</v>
      </c>
      <c r="CQ88" s="41"/>
      <c r="CR88" s="30">
        <f>+CP129/-CP168-1</f>
        <v>7.71875</v>
      </c>
      <c r="CS88" s="31">
        <f>+COUNT(D88:CO88)</f>
        <v>1</v>
      </c>
      <c r="CT88" s="31">
        <f>+COUNTIF(D129:CO129,"&gt;0")</f>
        <v>1</v>
      </c>
      <c r="CU88" s="30">
        <f t="shared" ref="CU88:CU91" si="158">+CT88/CS88</f>
        <v>1</v>
      </c>
      <c r="CV88" s="30">
        <f>+SUMIF($D129:$CO129,"&gt;0",$D129:$CO129)/-SUMIF($D168:$CO168,"&lt;0",$D$186:$CO$186)</f>
        <v>0.544921875</v>
      </c>
      <c r="CW88" s="30">
        <f>+SUMIF($D168:$CO168,"&lt;0",$D168:$CO168)/SUMIF($D168:$CO168,"&lt;0",$D$186:$CO$186)</f>
        <v>6.25E-2</v>
      </c>
      <c r="CX88" s="32">
        <f t="shared" ref="CX88:CX91" si="159">+CP88/CS88</f>
        <v>154.375</v>
      </c>
    </row>
    <row r="89" spans="2:102" ht="12.75" hidden="1" customHeight="1" outlineLevel="1" x14ac:dyDescent="0.2">
      <c r="B89" s="33"/>
      <c r="C89" s="33" t="str">
        <f>+C130</f>
        <v>Johannes Jäämeri</v>
      </c>
      <c r="D89" s="34" t="str">
        <f>+IF(NOT(ISBLANK(D169)),D169+D130,"")</f>
        <v/>
      </c>
      <c r="E89" s="34" t="str">
        <f>+IF(NOT(ISBLANK(E169)),E169+E130,"")</f>
        <v/>
      </c>
      <c r="F89" s="34" t="str">
        <f>+IF(NOT(ISBLANK(F169)),F169+F130,"")</f>
        <v/>
      </c>
      <c r="G89" s="34" t="str">
        <f>+IF(NOT(ISBLANK(G169)),G169+G130,"")</f>
        <v/>
      </c>
      <c r="H89" s="34" t="str">
        <f>+IF(NOT(ISBLANK(H169)),H169+H130,"")</f>
        <v/>
      </c>
      <c r="I89" s="34" t="str">
        <f>+IF(NOT(ISBLANK(I169)),I169+I130,"")</f>
        <v/>
      </c>
      <c r="J89" s="34" t="str">
        <f>+IF(NOT(ISBLANK(J169)),J169+J130,"")</f>
        <v/>
      </c>
      <c r="K89" s="34" t="str">
        <f>+IF(NOT(ISBLANK(K169)),K169+K130,"")</f>
        <v/>
      </c>
      <c r="L89" s="34" t="str">
        <f>+IF(NOT(ISBLANK(L169)),L169+L130,"")</f>
        <v/>
      </c>
      <c r="M89" s="34" t="str">
        <f>+IF(NOT(ISBLANK(M169)),M169+M130,"")</f>
        <v/>
      </c>
      <c r="N89" s="34" t="str">
        <f>+IF(NOT(ISBLANK(N169)),N169+N130,"")</f>
        <v/>
      </c>
      <c r="O89" s="34" t="str">
        <f>+IF(NOT(ISBLANK(O169)),O169+O130,"")</f>
        <v/>
      </c>
      <c r="P89" s="34" t="str">
        <f>+IF(NOT(ISBLANK(P169)),P169+P130,"")</f>
        <v/>
      </c>
      <c r="Q89" s="34" t="str">
        <f>+IF(NOT(ISBLANK(Q169)),Q169+Q130,"")</f>
        <v/>
      </c>
      <c r="R89" s="34" t="str">
        <f>+IF(NOT(ISBLANK(R169)),R169+R130,"")</f>
        <v/>
      </c>
      <c r="S89" s="34" t="str">
        <f>+IF(NOT(ISBLANK(S169)),S169+S130,"")</f>
        <v/>
      </c>
      <c r="T89" s="34" t="str">
        <f>+IF(NOT(ISBLANK(T169)),T169+T130,"")</f>
        <v/>
      </c>
      <c r="U89" s="34" t="str">
        <f>+IF(NOT(ISBLANK(U169)),U169+U130,"")</f>
        <v/>
      </c>
      <c r="V89" s="34" t="str">
        <f>+IF(NOT(ISBLANK(V169)),V169+V130,"")</f>
        <v/>
      </c>
      <c r="W89" s="34" t="str">
        <f>+IF(NOT(ISBLANK(W169)),W169+W130,"")</f>
        <v/>
      </c>
      <c r="X89" s="34" t="str">
        <f>+IF(NOT(ISBLANK(X169)),X169+X130,"")</f>
        <v/>
      </c>
      <c r="Y89" s="34" t="str">
        <f>+IF(NOT(ISBLANK(Y169)),Y169+Y130,"")</f>
        <v/>
      </c>
      <c r="Z89" s="34" t="str">
        <f>+IF(NOT(ISBLANK(Z169)),Z169+Z130,"")</f>
        <v/>
      </c>
      <c r="AA89" s="34" t="str">
        <f>+IF(NOT(ISBLANK(AA169)),AA169+AA130,"")</f>
        <v/>
      </c>
      <c r="AB89" s="34" t="str">
        <f>+IF(NOT(ISBLANK(AB169)),AB169+AB130,"")</f>
        <v/>
      </c>
      <c r="AC89" s="34" t="str">
        <f>+IF(NOT(ISBLANK(AC169)),AC169+AC130,"")</f>
        <v/>
      </c>
      <c r="AD89" s="34" t="str">
        <f>+IF(NOT(ISBLANK(AD169)),AD169+AD130,"")</f>
        <v/>
      </c>
      <c r="AE89" s="34" t="str">
        <f>+IF(NOT(ISBLANK(AE169)),AE169+AE130,"")</f>
        <v/>
      </c>
      <c r="AF89" s="34" t="str">
        <f>+IF(NOT(ISBLANK(AF169)),AF169+AF130,"")</f>
        <v/>
      </c>
      <c r="AG89" s="34" t="str">
        <f>+IF(NOT(ISBLANK(AG169)),AG169+AG130,"")</f>
        <v/>
      </c>
      <c r="AH89" s="34" t="str">
        <f>+IF(NOT(ISBLANK(AH169)),AH169+AH130,"")</f>
        <v/>
      </c>
      <c r="AI89" s="34" t="str">
        <f>+IF(NOT(ISBLANK(AI169)),AI169+AI130,"")</f>
        <v/>
      </c>
      <c r="AJ89" s="34" t="str">
        <f>+IF(NOT(ISBLANK(AJ169)),AJ169+AJ130,"")</f>
        <v/>
      </c>
      <c r="AK89" s="34" t="str">
        <f>+IF(NOT(ISBLANK(AK169)),AK169+AK130,"")</f>
        <v/>
      </c>
      <c r="AL89" s="34" t="str">
        <f>+IF(NOT(ISBLANK(AL169)),AL169+AL130,"")</f>
        <v/>
      </c>
      <c r="AM89" s="34" t="str">
        <f>+IF(NOT(ISBLANK(AM169)),AM169+AM130,"")</f>
        <v/>
      </c>
      <c r="AN89" s="34" t="str">
        <f>+IF(NOT(ISBLANK(AN169)),AN169+AN130,"")</f>
        <v/>
      </c>
      <c r="AO89" s="34" t="str">
        <f>+IF(NOT(ISBLANK(AO169)),AO169+AO130,"")</f>
        <v/>
      </c>
      <c r="AP89" s="34" t="str">
        <f>+IF(NOT(ISBLANK(AP169)),AP169+AP130,"")</f>
        <v/>
      </c>
      <c r="AQ89" s="34" t="str">
        <f>+IF(NOT(ISBLANK(AQ169)),AQ169+AQ130,"")</f>
        <v/>
      </c>
      <c r="AR89" s="34" t="str">
        <f>+IF(NOT(ISBLANK(AR169)),AR169+AR130,"")</f>
        <v/>
      </c>
      <c r="AS89" s="34">
        <f>+IF(NOT(ISBLANK(AS169)),AS169+AS130,"")</f>
        <v>-40</v>
      </c>
      <c r="AT89" s="34" t="str">
        <f>+IF(NOT(ISBLANK(AT169)),AT169+AT130,"")</f>
        <v/>
      </c>
      <c r="AU89" s="34" t="str">
        <f>+IF(NOT(ISBLANK(AU169)),AU169+AU130,"")</f>
        <v/>
      </c>
      <c r="AV89" s="34" t="str">
        <f>+IF(NOT(ISBLANK(AV169)),AV169+AV130,"")</f>
        <v/>
      </c>
      <c r="AW89" s="34" t="str">
        <f>+IF(NOT(ISBLANK(AW169)),AW169+AW130,"")</f>
        <v/>
      </c>
      <c r="AX89" s="34" t="str">
        <f>+IF(NOT(ISBLANK(AX169)),AX169+AX130,"")</f>
        <v/>
      </c>
      <c r="AY89" s="34" t="str">
        <f>+IF(NOT(ISBLANK(AY169)),AY169+AY130,"")</f>
        <v/>
      </c>
      <c r="AZ89" s="34" t="str">
        <f>+IF(NOT(ISBLANK(AZ169)),AZ169+AZ130,"")</f>
        <v/>
      </c>
      <c r="BA89" s="34" t="str">
        <f>+IF(NOT(ISBLANK(BA169)),BA169+BA130,"")</f>
        <v/>
      </c>
      <c r="BB89" s="34" t="str">
        <f>+IF(NOT(ISBLANK(BB169)),BB169+BB130,"")</f>
        <v/>
      </c>
      <c r="BC89" s="34" t="str">
        <f>+IF(NOT(ISBLANK(BC169)),BC169+BC130,"")</f>
        <v/>
      </c>
      <c r="BD89" s="34" t="str">
        <f>+IF(NOT(ISBLANK(BD169)),BD169+BD130,"")</f>
        <v/>
      </c>
      <c r="BE89" s="34" t="str">
        <f>+IF(NOT(ISBLANK(BE169)),BE169+BE130,"")</f>
        <v/>
      </c>
      <c r="BF89" s="34" t="str">
        <f>+IF(NOT(ISBLANK(BF169)),BF169+BF130,"")</f>
        <v/>
      </c>
      <c r="BG89" s="34" t="str">
        <f>+IF(NOT(ISBLANK(BG169)),BG169+BG130,"")</f>
        <v/>
      </c>
      <c r="BH89" s="34" t="str">
        <f>+IF(NOT(ISBLANK(BH169)),BH169+BH130,"")</f>
        <v/>
      </c>
      <c r="BI89" s="34" t="str">
        <f>+IF(NOT(ISBLANK(BI169)),BI169+BI130,"")</f>
        <v/>
      </c>
      <c r="BJ89" s="34" t="str">
        <f>+IF(NOT(ISBLANK(BJ169)),BJ169+BJ130,"")</f>
        <v/>
      </c>
      <c r="BK89" s="34" t="str">
        <f>+IF(NOT(ISBLANK(BK169)),BK169+BK130,"")</f>
        <v/>
      </c>
      <c r="BL89" s="34" t="str">
        <f>+IF(NOT(ISBLANK(BL169)),BL169+BL130,"")</f>
        <v/>
      </c>
      <c r="BM89" s="34" t="str">
        <f>+IF(NOT(ISBLANK(BM169)),BM169+BM130,"")</f>
        <v/>
      </c>
      <c r="BN89" s="34" t="str">
        <f>+IF(NOT(ISBLANK(BN169)),BN169+BN130,"")</f>
        <v/>
      </c>
      <c r="BO89" s="34" t="str">
        <f>+IF(NOT(ISBLANK(BO169)),BO169+BO130,"")</f>
        <v/>
      </c>
      <c r="BP89" s="34" t="str">
        <f>+IF(NOT(ISBLANK(BP169)),BP169+BP130,"")</f>
        <v/>
      </c>
      <c r="BQ89" s="34" t="str">
        <f>+IF(NOT(ISBLANK(BQ169)),BQ169+BQ130,"")</f>
        <v/>
      </c>
      <c r="BR89" s="34" t="str">
        <f>+IF(NOT(ISBLANK(BR169)),BR169+BR130,"")</f>
        <v/>
      </c>
      <c r="BS89" s="34" t="str">
        <f>+IF(NOT(ISBLANK(BS169)),BS169+BS130,"")</f>
        <v/>
      </c>
      <c r="BT89" s="34" t="str">
        <f>+IF(NOT(ISBLANK(BT169)),BT169+BT130,"")</f>
        <v/>
      </c>
      <c r="BU89" s="34" t="str">
        <f>+IF(NOT(ISBLANK(BU169)),BU169+BU130,"")</f>
        <v/>
      </c>
      <c r="BV89" s="34" t="str">
        <f>+IF(NOT(ISBLANK(BV169)),BV169+BV130,"")</f>
        <v/>
      </c>
      <c r="BW89" s="34" t="str">
        <f>+IF(NOT(ISBLANK(BW169)),BW169+BW130,"")</f>
        <v/>
      </c>
      <c r="BX89" s="34" t="str">
        <f>+IF(NOT(ISBLANK(BX169)),BX169+BX130,"")</f>
        <v/>
      </c>
      <c r="BY89" s="34" t="str">
        <f>+IF(NOT(ISBLANK(BY169)),BY169+BY130,"")</f>
        <v/>
      </c>
      <c r="BZ89" s="34" t="str">
        <f>+IF(NOT(ISBLANK(BZ169)),BZ169+BZ130,"")</f>
        <v/>
      </c>
      <c r="CA89" s="34" t="str">
        <f>+IF(NOT(ISBLANK(CA169)),CA169+CA130,"")</f>
        <v/>
      </c>
      <c r="CB89" s="34" t="str">
        <f>+IF(NOT(ISBLANK(CB169)),CB169+CB130,"")</f>
        <v/>
      </c>
      <c r="CC89" s="34" t="str">
        <f>+IF(NOT(ISBLANK(CC169)),CC169+CC130,"")</f>
        <v/>
      </c>
      <c r="CD89" s="34" t="str">
        <f>+IF(NOT(ISBLANK(CD169)),CD169+CD130,"")</f>
        <v/>
      </c>
      <c r="CE89" s="34" t="str">
        <f>+IF(NOT(ISBLANK(CE169)),CE169+CE130,"")</f>
        <v/>
      </c>
      <c r="CF89" s="34" t="str">
        <f>+IF(NOT(ISBLANK(CF169)),CF169+CF130,"")</f>
        <v/>
      </c>
      <c r="CG89" s="34" t="str">
        <f>+IF(NOT(ISBLANK(CG169)),CG169+CG130,"")</f>
        <v/>
      </c>
      <c r="CH89" s="34" t="str">
        <f>+IF(NOT(ISBLANK(CH169)),CH169+CH130,"")</f>
        <v/>
      </c>
      <c r="CI89" s="34" t="str">
        <f>+IF(NOT(ISBLANK(CI169)),CI169+CI130,"")</f>
        <v/>
      </c>
      <c r="CJ89" s="34" t="str">
        <f>+IF(NOT(ISBLANK(CJ169)),CJ169+CJ130,"")</f>
        <v/>
      </c>
      <c r="CK89" s="34" t="str">
        <f>+IF(NOT(ISBLANK(CK169)),CK169+CK130,"")</f>
        <v/>
      </c>
      <c r="CL89" s="34" t="str">
        <f>+IF(NOT(ISBLANK(CL169)),CL169+CL130,"")</f>
        <v/>
      </c>
      <c r="CM89" s="34" t="str">
        <f>+IF(NOT(ISBLANK(CM169)),CM169+CM130,"")</f>
        <v/>
      </c>
      <c r="CN89" s="34" t="str">
        <f>+IF(NOT(ISBLANK(CN169)),CN169+CN130,"")</f>
        <v/>
      </c>
      <c r="CO89" s="35"/>
      <c r="CP89" s="36">
        <f>+IF(NOT(ISBLANK(CP169)),CP169+CP130,"")</f>
        <v>-40</v>
      </c>
      <c r="CQ89" s="34"/>
      <c r="CR89" s="37">
        <f>+CP130/-CP169-1</f>
        <v>-1</v>
      </c>
      <c r="CS89" s="38">
        <f>+COUNT(D89:CO89)</f>
        <v>1</v>
      </c>
      <c r="CT89" s="38">
        <f>+COUNTIF(D130:CO130,"&gt;0")</f>
        <v>0</v>
      </c>
      <c r="CU89" s="37">
        <f t="shared" si="158"/>
        <v>0</v>
      </c>
      <c r="CV89" s="37">
        <f>+SUMIF($D130:$CO130,"&gt;0",$D130:$CO130)/-SUMIF($D169:$CO169,"&lt;0",$D$186:$CO$186)</f>
        <v>0</v>
      </c>
      <c r="CW89" s="37">
        <f>+SUMIF($D169:$CO169,"&lt;0",$D169:$CO169)/SUMIF($D169:$CO169,"&lt;0",$D$186:$CO$186)</f>
        <v>0.125</v>
      </c>
      <c r="CX89" s="39">
        <f t="shared" si="159"/>
        <v>-40</v>
      </c>
    </row>
    <row r="90" spans="2:102" ht="12.75" hidden="1" customHeight="1" outlineLevel="1" x14ac:dyDescent="0.2">
      <c r="B90" s="40"/>
      <c r="C90" s="40" t="str">
        <f>+C131</f>
        <v>Mauno Malmivaara</v>
      </c>
      <c r="D90" s="41" t="str">
        <f>+IF(NOT(ISBLANK(D170)),D170+D131,"")</f>
        <v/>
      </c>
      <c r="E90" s="41" t="str">
        <f>+IF(NOT(ISBLANK(E170)),E170+E131,"")</f>
        <v/>
      </c>
      <c r="F90" s="41" t="str">
        <f>+IF(NOT(ISBLANK(F170)),F170+F131,"")</f>
        <v/>
      </c>
      <c r="G90" s="41" t="str">
        <f>+IF(NOT(ISBLANK(G170)),G170+G131,"")</f>
        <v/>
      </c>
      <c r="H90" s="41" t="str">
        <f>+IF(NOT(ISBLANK(H170)),H170+H131,"")</f>
        <v/>
      </c>
      <c r="I90" s="41" t="str">
        <f>+IF(NOT(ISBLANK(I170)),I170+I131,"")</f>
        <v/>
      </c>
      <c r="J90" s="41" t="str">
        <f>+IF(NOT(ISBLANK(J170)),J170+J131,"")</f>
        <v/>
      </c>
      <c r="K90" s="41" t="str">
        <f>+IF(NOT(ISBLANK(K170)),K170+K131,"")</f>
        <v/>
      </c>
      <c r="L90" s="41" t="str">
        <f>+IF(NOT(ISBLANK(L170)),L170+L131,"")</f>
        <v/>
      </c>
      <c r="M90" s="41" t="str">
        <f>+IF(NOT(ISBLANK(M170)),M170+M131,"")</f>
        <v/>
      </c>
      <c r="N90" s="41" t="str">
        <f>+IF(NOT(ISBLANK(N170)),N170+N131,"")</f>
        <v/>
      </c>
      <c r="O90" s="41" t="str">
        <f>+IF(NOT(ISBLANK(O170)),O170+O131,"")</f>
        <v/>
      </c>
      <c r="P90" s="41" t="str">
        <f>+IF(NOT(ISBLANK(P170)),P170+P131,"")</f>
        <v/>
      </c>
      <c r="Q90" s="41" t="str">
        <f>+IF(NOT(ISBLANK(Q170)),Q170+Q131,"")</f>
        <v/>
      </c>
      <c r="R90" s="41" t="str">
        <f>+IF(NOT(ISBLANK(R170)),R170+R131,"")</f>
        <v/>
      </c>
      <c r="S90" s="41" t="str">
        <f>+IF(NOT(ISBLANK(S170)),S170+S131,"")</f>
        <v/>
      </c>
      <c r="T90" s="41" t="str">
        <f>+IF(NOT(ISBLANK(T170)),T170+T131,"")</f>
        <v/>
      </c>
      <c r="U90" s="41" t="str">
        <f>+IF(NOT(ISBLANK(U170)),U170+U131,"")</f>
        <v/>
      </c>
      <c r="V90" s="41" t="str">
        <f>+IF(NOT(ISBLANK(V170)),V170+V131,"")</f>
        <v/>
      </c>
      <c r="W90" s="41" t="str">
        <f>+IF(NOT(ISBLANK(W170)),W170+W131,"")</f>
        <v/>
      </c>
      <c r="X90" s="41" t="str">
        <f>+IF(NOT(ISBLANK(X170)),X170+X131,"")</f>
        <v/>
      </c>
      <c r="Y90" s="41" t="str">
        <f>+IF(NOT(ISBLANK(Y170)),Y170+Y131,"")</f>
        <v/>
      </c>
      <c r="Z90" s="41" t="str">
        <f>+IF(NOT(ISBLANK(Z170)),Z170+Z131,"")</f>
        <v/>
      </c>
      <c r="AA90" s="41" t="str">
        <f>+IF(NOT(ISBLANK(AA170)),AA170+AA131,"")</f>
        <v/>
      </c>
      <c r="AB90" s="41" t="str">
        <f>+IF(NOT(ISBLANK(AB170)),AB170+AB131,"")</f>
        <v/>
      </c>
      <c r="AC90" s="41" t="str">
        <f>+IF(NOT(ISBLANK(AC170)),AC170+AC131,"")</f>
        <v/>
      </c>
      <c r="AD90" s="41" t="str">
        <f>+IF(NOT(ISBLANK(AD170)),AD170+AD131,"")</f>
        <v/>
      </c>
      <c r="AE90" s="41" t="str">
        <f>+IF(NOT(ISBLANK(AE170)),AE170+AE131,"")</f>
        <v/>
      </c>
      <c r="AF90" s="41" t="str">
        <f>+IF(NOT(ISBLANK(AF170)),AF170+AF131,"")</f>
        <v/>
      </c>
      <c r="AG90" s="41" t="str">
        <f>+IF(NOT(ISBLANK(AG170)),AG170+AG131,"")</f>
        <v/>
      </c>
      <c r="AH90" s="41" t="str">
        <f>+IF(NOT(ISBLANK(AH170)),AH170+AH131,"")</f>
        <v/>
      </c>
      <c r="AI90" s="41" t="str">
        <f>+IF(NOT(ISBLANK(AI170)),AI170+AI131,"")</f>
        <v/>
      </c>
      <c r="AJ90" s="41" t="str">
        <f>+IF(NOT(ISBLANK(AJ170)),AJ170+AJ131,"")</f>
        <v/>
      </c>
      <c r="AK90" s="41" t="str">
        <f>+IF(NOT(ISBLANK(AK170)),AK170+AK131,"")</f>
        <v/>
      </c>
      <c r="AL90" s="41" t="str">
        <f>+IF(NOT(ISBLANK(AL170)),AL170+AL131,"")</f>
        <v/>
      </c>
      <c r="AM90" s="41" t="str">
        <f>+IF(NOT(ISBLANK(AM170)),AM170+AM131,"")</f>
        <v/>
      </c>
      <c r="AN90" s="41" t="str">
        <f>+IF(NOT(ISBLANK(AN170)),AN170+AN131,"")</f>
        <v/>
      </c>
      <c r="AO90" s="41" t="str">
        <f>+IF(NOT(ISBLANK(AO170)),AO170+AO131,"")</f>
        <v/>
      </c>
      <c r="AP90" s="41" t="str">
        <f>+IF(NOT(ISBLANK(AP170)),AP170+AP131,"")</f>
        <v/>
      </c>
      <c r="AQ90" s="41" t="str">
        <f>+IF(NOT(ISBLANK(AQ170)),AQ170+AQ131,"")</f>
        <v/>
      </c>
      <c r="AR90" s="41" t="str">
        <f>+IF(NOT(ISBLANK(AR170)),AR170+AR131,"")</f>
        <v/>
      </c>
      <c r="AS90" s="41">
        <f>+IF(NOT(ISBLANK(AS170)),AS170+AS131,"")</f>
        <v>-40</v>
      </c>
      <c r="AT90" s="41" t="str">
        <f>+IF(NOT(ISBLANK(AT170)),AT170+AT131,"")</f>
        <v/>
      </c>
      <c r="AU90" s="41" t="str">
        <f>+IF(NOT(ISBLANK(AU170)),AU170+AU131,"")</f>
        <v/>
      </c>
      <c r="AV90" s="41" t="str">
        <f>+IF(NOT(ISBLANK(AV170)),AV170+AV131,"")</f>
        <v/>
      </c>
      <c r="AW90" s="41">
        <f>+IF(NOT(ISBLANK(AW170)),AW170+AW131,"")</f>
        <v>-30</v>
      </c>
      <c r="AX90" s="41" t="str">
        <f>+IF(NOT(ISBLANK(AX170)),AX170+AX131,"")</f>
        <v/>
      </c>
      <c r="AY90" s="41" t="str">
        <f>+IF(NOT(ISBLANK(AY170)),AY170+AY131,"")</f>
        <v/>
      </c>
      <c r="AZ90" s="41" t="str">
        <f>+IF(NOT(ISBLANK(AZ170)),AZ170+AZ131,"")</f>
        <v/>
      </c>
      <c r="BA90" s="41" t="str">
        <f>+IF(NOT(ISBLANK(BA170)),BA170+BA131,"")</f>
        <v/>
      </c>
      <c r="BB90" s="41">
        <f>+IF(NOT(ISBLANK(BB170)),BB170+BB131,"")</f>
        <v>-40</v>
      </c>
      <c r="BC90" s="41" t="str">
        <f>+IF(NOT(ISBLANK(BC170)),BC170+BC131,"")</f>
        <v/>
      </c>
      <c r="BD90" s="41" t="str">
        <f>+IF(NOT(ISBLANK(BD170)),BD170+BD131,"")</f>
        <v/>
      </c>
      <c r="BE90" s="41" t="str">
        <f>+IF(NOT(ISBLANK(BE170)),BE170+BE131,"")</f>
        <v/>
      </c>
      <c r="BF90" s="41" t="str">
        <f>+IF(NOT(ISBLANK(BF170)),BF170+BF131,"")</f>
        <v/>
      </c>
      <c r="BG90" s="41" t="str">
        <f>+IF(NOT(ISBLANK(BG170)),BG170+BG131,"")</f>
        <v/>
      </c>
      <c r="BH90" s="41" t="str">
        <f>+IF(NOT(ISBLANK(BH170)),BH170+BH131,"")</f>
        <v/>
      </c>
      <c r="BI90" s="41" t="str">
        <f>+IF(NOT(ISBLANK(BI170)),BI170+BI131,"")</f>
        <v/>
      </c>
      <c r="BJ90" s="41">
        <f>+IF(NOT(ISBLANK(BJ170)),BJ170+BJ131,"")</f>
        <v>-100</v>
      </c>
      <c r="BK90" s="41" t="str">
        <f>+IF(NOT(ISBLANK(BK170)),BK170+BK131,"")</f>
        <v/>
      </c>
      <c r="BL90" s="41">
        <f>+IF(NOT(ISBLANK(BL170)),BL170+BL131,"")</f>
        <v>-20</v>
      </c>
      <c r="BM90" s="41" t="str">
        <f>+IF(NOT(ISBLANK(BM170)),BM170+BM131,"")</f>
        <v/>
      </c>
      <c r="BN90" s="41" t="str">
        <f>+IF(NOT(ISBLANK(BN170)),BN170+BN131,"")</f>
        <v/>
      </c>
      <c r="BO90" s="41" t="str">
        <f>+IF(NOT(ISBLANK(BO170)),BO170+BO131,"")</f>
        <v/>
      </c>
      <c r="BP90" s="41">
        <f>+IF(NOT(ISBLANK(BP170)),BP170+BP131,"")</f>
        <v>-100</v>
      </c>
      <c r="BQ90" s="41" t="str">
        <f>+IF(NOT(ISBLANK(BQ170)),BQ170+BQ131,"")</f>
        <v/>
      </c>
      <c r="BR90" s="41" t="str">
        <f>+IF(NOT(ISBLANK(BR170)),BR170+BR131,"")</f>
        <v/>
      </c>
      <c r="BS90" s="41" t="str">
        <f>+IF(NOT(ISBLANK(BS170)),BS170+BS131,"")</f>
        <v/>
      </c>
      <c r="BT90" s="41">
        <f>+IF(NOT(ISBLANK(BT170)),BT170+BT131,"")</f>
        <v>-40</v>
      </c>
      <c r="BU90" s="41">
        <f>+IF(NOT(ISBLANK(BU170)),BU170+BU131,"")</f>
        <v>0</v>
      </c>
      <c r="BV90" s="41" t="str">
        <f>+IF(NOT(ISBLANK(BV170)),BV170+BV131,"")</f>
        <v/>
      </c>
      <c r="BW90" s="41">
        <f>+IF(NOT(ISBLANK(BW170)),BW170+BW131,"")</f>
        <v>120</v>
      </c>
      <c r="BX90" s="41">
        <f>+IF(NOT(ISBLANK(BX170)),BX170+BX131,"")</f>
        <v>142.5</v>
      </c>
      <c r="BY90" s="41">
        <f>+IF(NOT(ISBLANK(BY170)),BY170+BY131,"")</f>
        <v>-50</v>
      </c>
      <c r="BZ90" s="41" t="str">
        <f>+IF(NOT(ISBLANK(BZ170)),BZ170+BZ131,"")</f>
        <v/>
      </c>
      <c r="CA90" s="41">
        <f>+IF(NOT(ISBLANK(CA170)),CA170+CA131,"")</f>
        <v>88</v>
      </c>
      <c r="CB90" s="41">
        <f>+IF(NOT(ISBLANK(CB170)),CB170+CB131,"")</f>
        <v>-20</v>
      </c>
      <c r="CC90" s="41">
        <f>+IF(NOT(ISBLANK(CC170)),CC170+CC131,"")</f>
        <v>-40</v>
      </c>
      <c r="CD90" s="41">
        <f>+IF(NOT(ISBLANK(CD170)),CD170+CD131,"")</f>
        <v>4</v>
      </c>
      <c r="CE90" s="41">
        <f>+IF(NOT(ISBLANK(CE170)),CE170+CE131,"")</f>
        <v>24</v>
      </c>
      <c r="CF90" s="41" t="str">
        <f>+IF(NOT(ISBLANK(CF170)),CF170+CF131,"")</f>
        <v/>
      </c>
      <c r="CG90" s="41" t="str">
        <f>+IF(NOT(ISBLANK(CG170)),CG170+CG131,"")</f>
        <v/>
      </c>
      <c r="CH90" s="41" t="str">
        <f>+IF(NOT(ISBLANK(CH170)),CH170+CH131,"")</f>
        <v/>
      </c>
      <c r="CI90" s="41">
        <f>+IF(NOT(ISBLANK(CI170)),CI170+CI131,"")</f>
        <v>-60</v>
      </c>
      <c r="CJ90" s="41" t="str">
        <f>+IF(NOT(ISBLANK(CJ170)),CJ170+CJ131,"")</f>
        <v/>
      </c>
      <c r="CK90" s="41" t="str">
        <f>+IF(NOT(ISBLANK(CK170)),CK170+CK131,"")</f>
        <v/>
      </c>
      <c r="CL90" s="41">
        <f>+IF(NOT(ISBLANK(CL170)),CL170+CL131,"")</f>
        <v>-60</v>
      </c>
      <c r="CM90" s="41">
        <f>+IF(NOT(ISBLANK(CM170)),CM170+CM131,"")</f>
        <v>180</v>
      </c>
      <c r="CN90" s="41">
        <f>+IF(NOT(ISBLANK(CN170)),CN170+CN131,"")</f>
        <v>234</v>
      </c>
      <c r="CO90" s="42"/>
      <c r="CP90" s="29">
        <f>+IF(NOT(ISBLANK(CP170)),CP170+CP131,"")</f>
        <v>192.5</v>
      </c>
      <c r="CQ90" s="41"/>
      <c r="CR90" s="30">
        <f>+CP131/-CP170-1</f>
        <v>0.21629213483146059</v>
      </c>
      <c r="CS90" s="31">
        <f>+COUNT(D90:CO90)</f>
        <v>20</v>
      </c>
      <c r="CT90" s="31">
        <f>+COUNTIF(D131:CO131,"&gt;0")</f>
        <v>8</v>
      </c>
      <c r="CU90" s="30">
        <f t="shared" si="158"/>
        <v>0.4</v>
      </c>
      <c r="CV90" s="30">
        <f>+SUMIF($D131:$CO131,"&gt;0",$D131:$CO131)/-SUMIF($D170:$CO170,"&lt;0",$D$186:$CO$186)</f>
        <v>0.22575599582898853</v>
      </c>
      <c r="CW90" s="30">
        <f>+SUMIF($D170:$CO170,"&lt;0",$D170:$CO170)/SUMIF($D170:$CO170,"&lt;0",$D$186:$CO$186)</f>
        <v>0.18561001042752867</v>
      </c>
      <c r="CX90" s="32">
        <f t="shared" si="159"/>
        <v>9.625</v>
      </c>
    </row>
    <row r="91" spans="2:102" ht="12.75" hidden="1" customHeight="1" outlineLevel="1" x14ac:dyDescent="0.2">
      <c r="B91" s="33"/>
      <c r="C91" s="33" t="str">
        <f>+C132</f>
        <v>Heikki Jalo</v>
      </c>
      <c r="D91" s="34" t="str">
        <f>+IF(NOT(ISBLANK(D171)),D171+D132,"")</f>
        <v/>
      </c>
      <c r="E91" s="34" t="str">
        <f>+IF(NOT(ISBLANK(E171)),E171+E132,"")</f>
        <v/>
      </c>
      <c r="F91" s="34" t="str">
        <f>+IF(NOT(ISBLANK(F171)),F171+F132,"")</f>
        <v/>
      </c>
      <c r="G91" s="34" t="str">
        <f>+IF(NOT(ISBLANK(G171)),G171+G132,"")</f>
        <v/>
      </c>
      <c r="H91" s="34" t="str">
        <f>+IF(NOT(ISBLANK(H171)),H171+H132,"")</f>
        <v/>
      </c>
      <c r="I91" s="34" t="str">
        <f>+IF(NOT(ISBLANK(I171)),I171+I132,"")</f>
        <v/>
      </c>
      <c r="J91" s="34" t="str">
        <f>+IF(NOT(ISBLANK(J171)),J171+J132,"")</f>
        <v/>
      </c>
      <c r="K91" s="34" t="str">
        <f>+IF(NOT(ISBLANK(K171)),K171+K132,"")</f>
        <v/>
      </c>
      <c r="L91" s="34" t="str">
        <f>+IF(NOT(ISBLANK(L171)),L171+L132,"")</f>
        <v/>
      </c>
      <c r="M91" s="34" t="str">
        <f>+IF(NOT(ISBLANK(M171)),M171+M132,"")</f>
        <v/>
      </c>
      <c r="N91" s="34" t="str">
        <f>+IF(NOT(ISBLANK(N171)),N171+N132,"")</f>
        <v/>
      </c>
      <c r="O91" s="34" t="str">
        <f>+IF(NOT(ISBLANK(O171)),O171+O132,"")</f>
        <v/>
      </c>
      <c r="P91" s="34" t="str">
        <f>+IF(NOT(ISBLANK(P171)),P171+P132,"")</f>
        <v/>
      </c>
      <c r="Q91" s="34" t="str">
        <f>+IF(NOT(ISBLANK(Q171)),Q171+Q132,"")</f>
        <v/>
      </c>
      <c r="R91" s="34" t="str">
        <f>+IF(NOT(ISBLANK(R171)),R171+R132,"")</f>
        <v/>
      </c>
      <c r="S91" s="34" t="str">
        <f>+IF(NOT(ISBLANK(S171)),S171+S132,"")</f>
        <v/>
      </c>
      <c r="T91" s="34" t="str">
        <f>+IF(NOT(ISBLANK(T171)),T171+T132,"")</f>
        <v/>
      </c>
      <c r="U91" s="34" t="str">
        <f>+IF(NOT(ISBLANK(U171)),U171+U132,"")</f>
        <v/>
      </c>
      <c r="V91" s="34" t="str">
        <f>+IF(NOT(ISBLANK(V171)),V171+V132,"")</f>
        <v/>
      </c>
      <c r="W91" s="34" t="str">
        <f>+IF(NOT(ISBLANK(W171)),W171+W132,"")</f>
        <v/>
      </c>
      <c r="X91" s="34" t="str">
        <f>+IF(NOT(ISBLANK(X171)),X171+X132,"")</f>
        <v/>
      </c>
      <c r="Y91" s="34" t="str">
        <f>+IF(NOT(ISBLANK(Y171)),Y171+Y132,"")</f>
        <v/>
      </c>
      <c r="Z91" s="34" t="str">
        <f>+IF(NOT(ISBLANK(Z171)),Z171+Z132,"")</f>
        <v/>
      </c>
      <c r="AA91" s="34" t="str">
        <f>+IF(NOT(ISBLANK(AA171)),AA171+AA132,"")</f>
        <v/>
      </c>
      <c r="AB91" s="34" t="str">
        <f>+IF(NOT(ISBLANK(AB171)),AB171+AB132,"")</f>
        <v/>
      </c>
      <c r="AC91" s="34" t="str">
        <f>+IF(NOT(ISBLANK(AC171)),AC171+AC132,"")</f>
        <v/>
      </c>
      <c r="AD91" s="34" t="str">
        <f>+IF(NOT(ISBLANK(AD171)),AD171+AD132,"")</f>
        <v/>
      </c>
      <c r="AE91" s="34" t="str">
        <f>+IF(NOT(ISBLANK(AE171)),AE171+AE132,"")</f>
        <v/>
      </c>
      <c r="AF91" s="34" t="str">
        <f>+IF(NOT(ISBLANK(AF171)),AF171+AF132,"")</f>
        <v/>
      </c>
      <c r="AG91" s="34" t="str">
        <f>+IF(NOT(ISBLANK(AG171)),AG171+AG132,"")</f>
        <v/>
      </c>
      <c r="AH91" s="34" t="str">
        <f>+IF(NOT(ISBLANK(AH171)),AH171+AH132,"")</f>
        <v/>
      </c>
      <c r="AI91" s="34" t="str">
        <f>+IF(NOT(ISBLANK(AI171)),AI171+AI132,"")</f>
        <v/>
      </c>
      <c r="AJ91" s="34" t="str">
        <f>+IF(NOT(ISBLANK(AJ171)),AJ171+AJ132,"")</f>
        <v/>
      </c>
      <c r="AK91" s="34" t="str">
        <f>+IF(NOT(ISBLANK(AK171)),AK171+AK132,"")</f>
        <v/>
      </c>
      <c r="AL91" s="34" t="str">
        <f>+IF(NOT(ISBLANK(AL171)),AL171+AL132,"")</f>
        <v/>
      </c>
      <c r="AM91" s="34" t="str">
        <f>+IF(NOT(ISBLANK(AM171)),AM171+AM132,"")</f>
        <v/>
      </c>
      <c r="AN91" s="34" t="str">
        <f>+IF(NOT(ISBLANK(AN171)),AN171+AN132,"")</f>
        <v/>
      </c>
      <c r="AO91" s="34" t="str">
        <f>+IF(NOT(ISBLANK(AO171)),AO171+AO132,"")</f>
        <v/>
      </c>
      <c r="AP91" s="34" t="str">
        <f>+IF(NOT(ISBLANK(AP171)),AP171+AP132,"")</f>
        <v/>
      </c>
      <c r="AQ91" s="34" t="str">
        <f>+IF(NOT(ISBLANK(AQ171)),AQ171+AQ132,"")</f>
        <v/>
      </c>
      <c r="AR91" s="34" t="str">
        <f>+IF(NOT(ISBLANK(AR171)),AR171+AR132,"")</f>
        <v/>
      </c>
      <c r="AS91" s="34">
        <f>+IF(NOT(ISBLANK(AS171)),AS171+AS132,"")</f>
        <v>12</v>
      </c>
      <c r="AT91" s="34" t="str">
        <f>+IF(NOT(ISBLANK(AT171)),AT171+AT132,"")</f>
        <v/>
      </c>
      <c r="AU91" s="34" t="str">
        <f>+IF(NOT(ISBLANK(AU171)),AU171+AU132,"")</f>
        <v/>
      </c>
      <c r="AV91" s="34" t="str">
        <f>+IF(NOT(ISBLANK(AV171)),AV171+AV132,"")</f>
        <v/>
      </c>
      <c r="AW91" s="34">
        <f>+IF(NOT(ISBLANK(AW171)),AW171+AW132,"")</f>
        <v>-15</v>
      </c>
      <c r="AX91" s="34" t="str">
        <f>+IF(NOT(ISBLANK(AX171)),AX171+AX132,"")</f>
        <v/>
      </c>
      <c r="AY91" s="34" t="str">
        <f>+IF(NOT(ISBLANK(AY171)),AY171+AY132,"")</f>
        <v/>
      </c>
      <c r="AZ91" s="34" t="str">
        <f>+IF(NOT(ISBLANK(AZ171)),AZ171+AZ132,"")</f>
        <v/>
      </c>
      <c r="BA91" s="34" t="str">
        <f>+IF(NOT(ISBLANK(BA171)),BA171+BA132,"")</f>
        <v/>
      </c>
      <c r="BB91" s="34">
        <f>+IF(NOT(ISBLANK(BB171)),BB171+BB132,"")</f>
        <v>72</v>
      </c>
      <c r="BC91" s="34" t="str">
        <f>+IF(NOT(ISBLANK(BC171)),BC171+BC132,"")</f>
        <v/>
      </c>
      <c r="BD91" s="34" t="str">
        <f>+IF(NOT(ISBLANK(BD171)),BD171+BD132,"")</f>
        <v/>
      </c>
      <c r="BE91" s="34" t="str">
        <f>+IF(NOT(ISBLANK(BE171)),BE171+BE132,"")</f>
        <v/>
      </c>
      <c r="BF91" s="34" t="str">
        <f>+IF(NOT(ISBLANK(BF171)),BF171+BF132,"")</f>
        <v/>
      </c>
      <c r="BG91" s="34" t="str">
        <f>+IF(NOT(ISBLANK(BG171)),BG171+BG132,"")</f>
        <v/>
      </c>
      <c r="BH91" s="34" t="str">
        <f>+IF(NOT(ISBLANK(BH171)),BH171+BH132,"")</f>
        <v/>
      </c>
      <c r="BI91" s="34" t="str">
        <f>+IF(NOT(ISBLANK(BI171)),BI171+BI132,"")</f>
        <v/>
      </c>
      <c r="BJ91" s="34">
        <f>+IF(NOT(ISBLANK(BJ171)),BJ171+BJ132,"")</f>
        <v>0</v>
      </c>
      <c r="BK91" s="34" t="str">
        <f>+IF(NOT(ISBLANK(BK171)),BK171+BK132,"")</f>
        <v/>
      </c>
      <c r="BL91" s="34" t="str">
        <f>+IF(NOT(ISBLANK(BL171)),BL171+BL132,"")</f>
        <v/>
      </c>
      <c r="BM91" s="34" t="str">
        <f>+IF(NOT(ISBLANK(BM171)),BM171+BM132,"")</f>
        <v/>
      </c>
      <c r="BN91" s="34" t="str">
        <f>+IF(NOT(ISBLANK(BN171)),BN171+BN132,"")</f>
        <v/>
      </c>
      <c r="BO91" s="34" t="str">
        <f>+IF(NOT(ISBLANK(BO171)),BO171+BO132,"")</f>
        <v/>
      </c>
      <c r="BP91" s="34" t="str">
        <f>+IF(NOT(ISBLANK(BP171)),BP171+BP132,"")</f>
        <v/>
      </c>
      <c r="BQ91" s="34" t="str">
        <f>+IF(NOT(ISBLANK(BQ171)),BQ171+BQ132,"")</f>
        <v/>
      </c>
      <c r="BR91" s="34" t="str">
        <f>+IF(NOT(ISBLANK(BR171)),BR171+BR132,"")</f>
        <v/>
      </c>
      <c r="BS91" s="34" t="str">
        <f>+IF(NOT(ISBLANK(BS171)),BS171+BS132,"")</f>
        <v/>
      </c>
      <c r="BT91" s="34" t="str">
        <f>+IF(NOT(ISBLANK(BT171)),BT171+BT132,"")</f>
        <v/>
      </c>
      <c r="BU91" s="34" t="str">
        <f>+IF(NOT(ISBLANK(BU171)),BU171+BU132,"")</f>
        <v/>
      </c>
      <c r="BV91" s="34" t="str">
        <f>+IF(NOT(ISBLANK(BV171)),BV171+BV132,"")</f>
        <v/>
      </c>
      <c r="BW91" s="34" t="str">
        <f>+IF(NOT(ISBLANK(BW171)),BW171+BW132,"")</f>
        <v/>
      </c>
      <c r="BX91" s="34" t="str">
        <f>+IF(NOT(ISBLANK(BX171)),BX171+BX132,"")</f>
        <v/>
      </c>
      <c r="BY91" s="34" t="str">
        <f>+IF(NOT(ISBLANK(BY171)),BY171+BY132,"")</f>
        <v/>
      </c>
      <c r="BZ91" s="34" t="str">
        <f>+IF(NOT(ISBLANK(BZ171)),BZ171+BZ132,"")</f>
        <v/>
      </c>
      <c r="CA91" s="34" t="str">
        <f>+IF(NOT(ISBLANK(CA171)),CA171+CA132,"")</f>
        <v/>
      </c>
      <c r="CB91" s="34" t="str">
        <f>+IF(NOT(ISBLANK(CB171)),CB171+CB132,"")</f>
        <v/>
      </c>
      <c r="CC91" s="34" t="str">
        <f>+IF(NOT(ISBLANK(CC171)),CC171+CC132,"")</f>
        <v/>
      </c>
      <c r="CD91" s="34" t="str">
        <f>+IF(NOT(ISBLANK(CD171)),CD171+CD132,"")</f>
        <v/>
      </c>
      <c r="CE91" s="34" t="str">
        <f>+IF(NOT(ISBLANK(CE171)),CE171+CE132,"")</f>
        <v/>
      </c>
      <c r="CF91" s="34" t="str">
        <f>+IF(NOT(ISBLANK(CF171)),CF171+CF132,"")</f>
        <v/>
      </c>
      <c r="CG91" s="34" t="str">
        <f>+IF(NOT(ISBLANK(CG171)),CG171+CG132,"")</f>
        <v/>
      </c>
      <c r="CH91" s="34" t="str">
        <f>+IF(NOT(ISBLANK(CH171)),CH171+CH132,"")</f>
        <v/>
      </c>
      <c r="CI91" s="34" t="str">
        <f>+IF(NOT(ISBLANK(CI171)),CI171+CI132,"")</f>
        <v/>
      </c>
      <c r="CJ91" s="34" t="str">
        <f>+IF(NOT(ISBLANK(CJ171)),CJ171+CJ132,"")</f>
        <v/>
      </c>
      <c r="CK91" s="34" t="str">
        <f>+IF(NOT(ISBLANK(CK171)),CK171+CK132,"")</f>
        <v/>
      </c>
      <c r="CL91" s="34" t="str">
        <f>+IF(NOT(ISBLANK(CL171)),CL171+CL132,"")</f>
        <v/>
      </c>
      <c r="CM91" s="34" t="str">
        <f>+IF(NOT(ISBLANK(CM171)),CM171+CM132,"")</f>
        <v/>
      </c>
      <c r="CN91" s="34" t="str">
        <f>+IF(NOT(ISBLANK(CN171)),CN171+CN132,"")</f>
        <v/>
      </c>
      <c r="CO91" s="35"/>
      <c r="CP91" s="36">
        <f>+IF(NOT(ISBLANK(CP171)),CP171+CP132,"")</f>
        <v>69</v>
      </c>
      <c r="CQ91" s="34"/>
      <c r="CR91" s="37">
        <f>+CP132/-CP171-1</f>
        <v>0.51111111111111107</v>
      </c>
      <c r="CS91" s="38">
        <f>+COUNT(D91:CO91)</f>
        <v>4</v>
      </c>
      <c r="CT91" s="38">
        <f>+COUNTIF(D132:CO132,"&gt;0")</f>
        <v>3</v>
      </c>
      <c r="CU91" s="37">
        <f t="shared" si="158"/>
        <v>0.75</v>
      </c>
      <c r="CV91" s="37">
        <f>+SUMIF($D132:$CO132,"&gt;0",$D132:$CO132)/-SUMIF($D171:$CO171,"&lt;0",$D$186:$CO$186)</f>
        <v>0.24285714285714285</v>
      </c>
      <c r="CW91" s="37">
        <f>+SUMIF($D171:$CO171,"&lt;0",$D171:$CO171)/SUMIF($D171:$CO171,"&lt;0",$D$186:$CO$186)</f>
        <v>0.16071428571428573</v>
      </c>
      <c r="CX91" s="39">
        <f t="shared" si="159"/>
        <v>17.25</v>
      </c>
    </row>
    <row r="92" spans="2:102" ht="12.75" hidden="1" customHeight="1" outlineLevel="1" x14ac:dyDescent="0.2">
      <c r="B92" s="40"/>
      <c r="C92" s="40" t="str">
        <f>+C133</f>
        <v>Jussi Raja</v>
      </c>
      <c r="D92" s="41" t="str">
        <f>+IF(NOT(ISBLANK(D172)),D172+D133,"")</f>
        <v/>
      </c>
      <c r="E92" s="41" t="str">
        <f>+IF(NOT(ISBLANK(E172)),E172+E133,"")</f>
        <v/>
      </c>
      <c r="F92" s="41" t="str">
        <f>+IF(NOT(ISBLANK(F172)),F172+F133,"")</f>
        <v/>
      </c>
      <c r="G92" s="41" t="str">
        <f>+IF(NOT(ISBLANK(G172)),G172+G133,"")</f>
        <v/>
      </c>
      <c r="H92" s="41" t="str">
        <f>+IF(NOT(ISBLANK(H172)),H172+H133,"")</f>
        <v/>
      </c>
      <c r="I92" s="41" t="str">
        <f>+IF(NOT(ISBLANK(I172)),I172+I133,"")</f>
        <v/>
      </c>
      <c r="J92" s="41" t="str">
        <f>+IF(NOT(ISBLANK(J172)),J172+J133,"")</f>
        <v/>
      </c>
      <c r="K92" s="41" t="str">
        <f>+IF(NOT(ISBLANK(K172)),K172+K133,"")</f>
        <v/>
      </c>
      <c r="L92" s="41" t="str">
        <f>+IF(NOT(ISBLANK(L172)),L172+L133,"")</f>
        <v/>
      </c>
      <c r="M92" s="41" t="str">
        <f>+IF(NOT(ISBLANK(M172)),M172+M133,"")</f>
        <v/>
      </c>
      <c r="N92" s="41" t="str">
        <f>+IF(NOT(ISBLANK(N172)),N172+N133,"")</f>
        <v/>
      </c>
      <c r="O92" s="41" t="str">
        <f>+IF(NOT(ISBLANK(O172)),O172+O133,"")</f>
        <v/>
      </c>
      <c r="P92" s="41" t="str">
        <f>+IF(NOT(ISBLANK(P172)),P172+P133,"")</f>
        <v/>
      </c>
      <c r="Q92" s="41" t="str">
        <f>+IF(NOT(ISBLANK(Q172)),Q172+Q133,"")</f>
        <v/>
      </c>
      <c r="R92" s="41" t="str">
        <f>+IF(NOT(ISBLANK(R172)),R172+R133,"")</f>
        <v/>
      </c>
      <c r="S92" s="41" t="str">
        <f>+IF(NOT(ISBLANK(S172)),S172+S133,"")</f>
        <v/>
      </c>
      <c r="T92" s="41" t="str">
        <f>+IF(NOT(ISBLANK(T172)),T172+T133,"")</f>
        <v/>
      </c>
      <c r="U92" s="41" t="str">
        <f>+IF(NOT(ISBLANK(U172)),U172+U133,"")</f>
        <v/>
      </c>
      <c r="V92" s="41" t="str">
        <f>+IF(NOT(ISBLANK(V172)),V172+V133,"")</f>
        <v/>
      </c>
      <c r="W92" s="41" t="str">
        <f>+IF(NOT(ISBLANK(W172)),W172+W133,"")</f>
        <v/>
      </c>
      <c r="X92" s="41" t="str">
        <f>+IF(NOT(ISBLANK(X172)),X172+X133,"")</f>
        <v/>
      </c>
      <c r="Y92" s="41" t="str">
        <f>+IF(NOT(ISBLANK(Y172)),Y172+Y133,"")</f>
        <v/>
      </c>
      <c r="Z92" s="41" t="str">
        <f>+IF(NOT(ISBLANK(Z172)),Z172+Z133,"")</f>
        <v/>
      </c>
      <c r="AA92" s="41" t="str">
        <f>+IF(NOT(ISBLANK(AA172)),AA172+AA133,"")</f>
        <v/>
      </c>
      <c r="AB92" s="41" t="str">
        <f>+IF(NOT(ISBLANK(AB172)),AB172+AB133,"")</f>
        <v/>
      </c>
      <c r="AC92" s="41" t="str">
        <f>+IF(NOT(ISBLANK(AC172)),AC172+AC133,"")</f>
        <v/>
      </c>
      <c r="AD92" s="41" t="str">
        <f>+IF(NOT(ISBLANK(AD172)),AD172+AD133,"")</f>
        <v/>
      </c>
      <c r="AE92" s="41" t="str">
        <f>+IF(NOT(ISBLANK(AE172)),AE172+AE133,"")</f>
        <v/>
      </c>
      <c r="AF92" s="41" t="str">
        <f>+IF(NOT(ISBLANK(AF172)),AF172+AF133,"")</f>
        <v/>
      </c>
      <c r="AG92" s="41" t="str">
        <f>+IF(NOT(ISBLANK(AG172)),AG172+AG133,"")</f>
        <v/>
      </c>
      <c r="AH92" s="41" t="str">
        <f>+IF(NOT(ISBLANK(AH172)),AH172+AH133,"")</f>
        <v/>
      </c>
      <c r="AI92" s="41" t="str">
        <f>+IF(NOT(ISBLANK(AI172)),AI172+AI133,"")</f>
        <v/>
      </c>
      <c r="AJ92" s="41" t="str">
        <f>+IF(NOT(ISBLANK(AJ172)),AJ172+AJ133,"")</f>
        <v/>
      </c>
      <c r="AK92" s="41" t="str">
        <f>+IF(NOT(ISBLANK(AK172)),AK172+AK133,"")</f>
        <v/>
      </c>
      <c r="AL92" s="41" t="str">
        <f>+IF(NOT(ISBLANK(AL172)),AL172+AL133,"")</f>
        <v/>
      </c>
      <c r="AM92" s="41" t="str">
        <f>+IF(NOT(ISBLANK(AM172)),AM172+AM133,"")</f>
        <v/>
      </c>
      <c r="AN92" s="41" t="str">
        <f>+IF(NOT(ISBLANK(AN172)),AN172+AN133,"")</f>
        <v/>
      </c>
      <c r="AO92" s="41" t="str">
        <f>+IF(NOT(ISBLANK(AO172)),AO172+AO133,"")</f>
        <v/>
      </c>
      <c r="AP92" s="41" t="str">
        <f>+IF(NOT(ISBLANK(AP172)),AP172+AP133,"")</f>
        <v/>
      </c>
      <c r="AQ92" s="41" t="str">
        <f>+IF(NOT(ISBLANK(AQ172)),AQ172+AQ133,"")</f>
        <v/>
      </c>
      <c r="AR92" s="41" t="str">
        <f>+IF(NOT(ISBLANK(AR172)),AR172+AR133,"")</f>
        <v/>
      </c>
      <c r="AS92" s="41" t="str">
        <f>+IF(NOT(ISBLANK(AS172)),AS172+AS133,"")</f>
        <v/>
      </c>
      <c r="AT92" s="41" t="str">
        <f>+IF(NOT(ISBLANK(AT172)),AT172+AT133,"")</f>
        <v/>
      </c>
      <c r="AU92" s="41" t="str">
        <f>+IF(NOT(ISBLANK(AU172)),AU172+AU133,"")</f>
        <v/>
      </c>
      <c r="AV92" s="41" t="str">
        <f>+IF(NOT(ISBLANK(AV172)),AV172+AV133,"")</f>
        <v/>
      </c>
      <c r="AW92" s="41">
        <f>+IF(NOT(ISBLANK(AW172)),AW172+AW133,"")</f>
        <v>-30</v>
      </c>
      <c r="AX92" s="41" t="str">
        <f>+IF(NOT(ISBLANK(AX172)),AX172+AX133,"")</f>
        <v/>
      </c>
      <c r="AY92" s="41" t="str">
        <f>+IF(NOT(ISBLANK(AY172)),AY172+AY133,"")</f>
        <v/>
      </c>
      <c r="AZ92" s="41" t="str">
        <f>+IF(NOT(ISBLANK(AZ172)),AZ172+AZ133,"")</f>
        <v/>
      </c>
      <c r="BA92" s="41" t="str">
        <f>+IF(NOT(ISBLANK(BA172)),BA172+BA133,"")</f>
        <v/>
      </c>
      <c r="BB92" s="41" t="str">
        <f>+IF(NOT(ISBLANK(BB172)),BB172+BB133,"")</f>
        <v/>
      </c>
      <c r="BC92" s="41" t="str">
        <f>+IF(NOT(ISBLANK(BC172)),BC172+BC133,"")</f>
        <v/>
      </c>
      <c r="BD92" s="41" t="str">
        <f>+IF(NOT(ISBLANK(BD172)),BD172+BD133,"")</f>
        <v/>
      </c>
      <c r="BE92" s="41" t="str">
        <f>+IF(NOT(ISBLANK(BE172)),BE172+BE133,"")</f>
        <v/>
      </c>
      <c r="BF92" s="41" t="str">
        <f>+IF(NOT(ISBLANK(BF172)),BF172+BF133,"")</f>
        <v/>
      </c>
      <c r="BG92" s="41" t="str">
        <f>+IF(NOT(ISBLANK(BG172)),BG172+BG133,"")</f>
        <v/>
      </c>
      <c r="BH92" s="41" t="str">
        <f>+IF(NOT(ISBLANK(BH172)),BH172+BH133,"")</f>
        <v/>
      </c>
      <c r="BI92" s="41" t="str">
        <f>+IF(NOT(ISBLANK(BI172)),BI172+BI133,"")</f>
        <v/>
      </c>
      <c r="BJ92" s="41" t="str">
        <f>+IF(NOT(ISBLANK(BJ172)),BJ172+BJ133,"")</f>
        <v/>
      </c>
      <c r="BK92" s="41" t="str">
        <f>+IF(NOT(ISBLANK(BK172)),BK172+BK133,"")</f>
        <v/>
      </c>
      <c r="BL92" s="41" t="str">
        <f>+IF(NOT(ISBLANK(BL172)),BL172+BL133,"")</f>
        <v/>
      </c>
      <c r="BM92" s="41" t="str">
        <f>+IF(NOT(ISBLANK(BM172)),BM172+BM133,"")</f>
        <v/>
      </c>
      <c r="BN92" s="41" t="str">
        <f>+IF(NOT(ISBLANK(BN172)),BN172+BN133,"")</f>
        <v/>
      </c>
      <c r="BO92" s="41" t="str">
        <f>+IF(NOT(ISBLANK(BO172)),BO172+BO133,"")</f>
        <v/>
      </c>
      <c r="BP92" s="41" t="str">
        <f>+IF(NOT(ISBLANK(BP172)),BP172+BP133,"")</f>
        <v/>
      </c>
      <c r="BQ92" s="41" t="str">
        <f>+IF(NOT(ISBLANK(BQ172)),BQ172+BQ133,"")</f>
        <v/>
      </c>
      <c r="BR92" s="41" t="str">
        <f>+IF(NOT(ISBLANK(BR172)),BR172+BR133,"")</f>
        <v/>
      </c>
      <c r="BS92" s="41" t="str">
        <f>+IF(NOT(ISBLANK(BS172)),BS172+BS133,"")</f>
        <v/>
      </c>
      <c r="BT92" s="41" t="str">
        <f>+IF(NOT(ISBLANK(BT172)),BT172+BT133,"")</f>
        <v/>
      </c>
      <c r="BU92" s="41" t="str">
        <f>+IF(NOT(ISBLANK(BU172)),BU172+BU133,"")</f>
        <v/>
      </c>
      <c r="BV92" s="41" t="str">
        <f>+IF(NOT(ISBLANK(BV172)),BV172+BV133,"")</f>
        <v/>
      </c>
      <c r="BW92" s="41" t="str">
        <f>+IF(NOT(ISBLANK(BW172)),BW172+BW133,"")</f>
        <v/>
      </c>
      <c r="BX92" s="41" t="str">
        <f>+IF(NOT(ISBLANK(BX172)),BX172+BX133,"")</f>
        <v/>
      </c>
      <c r="BY92" s="41" t="str">
        <f>+IF(NOT(ISBLANK(BY172)),BY172+BY133,"")</f>
        <v/>
      </c>
      <c r="BZ92" s="41" t="str">
        <f>+IF(NOT(ISBLANK(BZ172)),BZ172+BZ133,"")</f>
        <v/>
      </c>
      <c r="CA92" s="41" t="str">
        <f>+IF(NOT(ISBLANK(CA172)),CA172+CA133,"")</f>
        <v/>
      </c>
      <c r="CB92" s="41" t="str">
        <f>+IF(NOT(ISBLANK(CB172)),CB172+CB133,"")</f>
        <v/>
      </c>
      <c r="CC92" s="41" t="str">
        <f>+IF(NOT(ISBLANK(CC172)),CC172+CC133,"")</f>
        <v/>
      </c>
      <c r="CD92" s="41" t="str">
        <f>+IF(NOT(ISBLANK(CD172)),CD172+CD133,"")</f>
        <v/>
      </c>
      <c r="CE92" s="41" t="str">
        <f>+IF(NOT(ISBLANK(CE172)),CE172+CE133,"")</f>
        <v/>
      </c>
      <c r="CF92" s="41" t="str">
        <f>+IF(NOT(ISBLANK(CF172)),CF172+CF133,"")</f>
        <v/>
      </c>
      <c r="CG92" s="41" t="str">
        <f>+IF(NOT(ISBLANK(CG172)),CG172+CG133,"")</f>
        <v/>
      </c>
      <c r="CH92" s="41" t="str">
        <f>+IF(NOT(ISBLANK(CH172)),CH172+CH133,"")</f>
        <v/>
      </c>
      <c r="CI92" s="41" t="str">
        <f>+IF(NOT(ISBLANK(CI172)),CI172+CI133,"")</f>
        <v/>
      </c>
      <c r="CJ92" s="41" t="str">
        <f>+IF(NOT(ISBLANK(CJ172)),CJ172+CJ133,"")</f>
        <v/>
      </c>
      <c r="CK92" s="41" t="str">
        <f>+IF(NOT(ISBLANK(CK172)),CK172+CK133,"")</f>
        <v/>
      </c>
      <c r="CL92" s="41" t="str">
        <f>+IF(NOT(ISBLANK(CL172)),CL172+CL133,"")</f>
        <v/>
      </c>
      <c r="CM92" s="41" t="str">
        <f>+IF(NOT(ISBLANK(CM172)),CM172+CM133,"")</f>
        <v/>
      </c>
      <c r="CN92" s="41" t="str">
        <f>+IF(NOT(ISBLANK(CN172)),CN172+CN133,"")</f>
        <v/>
      </c>
      <c r="CO92" s="42"/>
      <c r="CP92" s="29">
        <f>+IF(NOT(ISBLANK(CP172)),CP172+CP133,"")</f>
        <v>-30</v>
      </c>
      <c r="CQ92" s="41"/>
      <c r="CR92" s="30">
        <f>+CP133/-CP172-1</f>
        <v>-1</v>
      </c>
      <c r="CS92" s="31">
        <f>+COUNT(D92:CO92)</f>
        <v>1</v>
      </c>
      <c r="CT92" s="31">
        <f>+COUNTIF(D133:CO133,"&gt;0")</f>
        <v>0</v>
      </c>
      <c r="CU92" s="30">
        <f>+CT92/CS92</f>
        <v>0</v>
      </c>
      <c r="CV92" s="30">
        <f>+SUMIF($D133:$CO133,"&gt;0",$D133:$CO133)/-SUMIF($D172:$CO172,"&lt;0",$D$186:$CO$186)</f>
        <v>0</v>
      </c>
      <c r="CW92" s="30">
        <f>+SUMIF($D172:$CO172,"&lt;0",$D172:$CO172)/SUMIF($D172:$CO172,"&lt;0",$D$186:$CO$186)</f>
        <v>0.16666666666666666</v>
      </c>
      <c r="CX92" s="32">
        <f>+CP92/CS92</f>
        <v>-30</v>
      </c>
    </row>
    <row r="93" spans="2:102" ht="12.75" hidden="1" customHeight="1" outlineLevel="1" x14ac:dyDescent="0.2">
      <c r="B93" s="33"/>
      <c r="C93" s="33" t="str">
        <f>+C134</f>
        <v>Tomi Pihlajamaa</v>
      </c>
      <c r="D93" s="34" t="str">
        <f>+IF(NOT(ISBLANK(D173)),D173+D134,"")</f>
        <v/>
      </c>
      <c r="E93" s="34" t="str">
        <f>+IF(NOT(ISBLANK(E173)),E173+E134,"")</f>
        <v/>
      </c>
      <c r="F93" s="34" t="str">
        <f>+IF(NOT(ISBLANK(F173)),F173+F134,"")</f>
        <v/>
      </c>
      <c r="G93" s="34" t="str">
        <f>+IF(NOT(ISBLANK(G173)),G173+G134,"")</f>
        <v/>
      </c>
      <c r="H93" s="34" t="str">
        <f>+IF(NOT(ISBLANK(H173)),H173+H134,"")</f>
        <v/>
      </c>
      <c r="I93" s="34" t="str">
        <f>+IF(NOT(ISBLANK(I173)),I173+I134,"")</f>
        <v/>
      </c>
      <c r="J93" s="34" t="str">
        <f>+IF(NOT(ISBLANK(J173)),J173+J134,"")</f>
        <v/>
      </c>
      <c r="K93" s="34" t="str">
        <f>+IF(NOT(ISBLANK(K173)),K173+K134,"")</f>
        <v/>
      </c>
      <c r="L93" s="34" t="str">
        <f>+IF(NOT(ISBLANK(L173)),L173+L134,"")</f>
        <v/>
      </c>
      <c r="M93" s="34" t="str">
        <f>+IF(NOT(ISBLANK(M173)),M173+M134,"")</f>
        <v/>
      </c>
      <c r="N93" s="34" t="str">
        <f>+IF(NOT(ISBLANK(N173)),N173+N134,"")</f>
        <v/>
      </c>
      <c r="O93" s="34" t="str">
        <f>+IF(NOT(ISBLANK(O173)),O173+O134,"")</f>
        <v/>
      </c>
      <c r="P93" s="34" t="str">
        <f>+IF(NOT(ISBLANK(P173)),P173+P134,"")</f>
        <v/>
      </c>
      <c r="Q93" s="34" t="str">
        <f>+IF(NOT(ISBLANK(Q173)),Q173+Q134,"")</f>
        <v/>
      </c>
      <c r="R93" s="34" t="str">
        <f>+IF(NOT(ISBLANK(R173)),R173+R134,"")</f>
        <v/>
      </c>
      <c r="S93" s="34" t="str">
        <f>+IF(NOT(ISBLANK(S173)),S173+S134,"")</f>
        <v/>
      </c>
      <c r="T93" s="34" t="str">
        <f>+IF(NOT(ISBLANK(T173)),T173+T134,"")</f>
        <v/>
      </c>
      <c r="U93" s="34" t="str">
        <f>+IF(NOT(ISBLANK(U173)),U173+U134,"")</f>
        <v/>
      </c>
      <c r="V93" s="34" t="str">
        <f>+IF(NOT(ISBLANK(V173)),V173+V134,"")</f>
        <v/>
      </c>
      <c r="W93" s="34" t="str">
        <f>+IF(NOT(ISBLANK(W173)),W173+W134,"")</f>
        <v/>
      </c>
      <c r="X93" s="34" t="str">
        <f>+IF(NOT(ISBLANK(X173)),X173+X134,"")</f>
        <v/>
      </c>
      <c r="Y93" s="34" t="str">
        <f>+IF(NOT(ISBLANK(Y173)),Y173+Y134,"")</f>
        <v/>
      </c>
      <c r="Z93" s="34" t="str">
        <f>+IF(NOT(ISBLANK(Z173)),Z173+Z134,"")</f>
        <v/>
      </c>
      <c r="AA93" s="34" t="str">
        <f>+IF(NOT(ISBLANK(AA173)),AA173+AA134,"")</f>
        <v/>
      </c>
      <c r="AB93" s="34" t="str">
        <f>+IF(NOT(ISBLANK(AB173)),AB173+AB134,"")</f>
        <v/>
      </c>
      <c r="AC93" s="34" t="str">
        <f>+IF(NOT(ISBLANK(AC173)),AC173+AC134,"")</f>
        <v/>
      </c>
      <c r="AD93" s="34" t="str">
        <f>+IF(NOT(ISBLANK(AD173)),AD173+AD134,"")</f>
        <v/>
      </c>
      <c r="AE93" s="34" t="str">
        <f>+IF(NOT(ISBLANK(AE173)),AE173+AE134,"")</f>
        <v/>
      </c>
      <c r="AF93" s="34" t="str">
        <f>+IF(NOT(ISBLANK(AF173)),AF173+AF134,"")</f>
        <v/>
      </c>
      <c r="AG93" s="34" t="str">
        <f>+IF(NOT(ISBLANK(AG173)),AG173+AG134,"")</f>
        <v/>
      </c>
      <c r="AH93" s="34" t="str">
        <f>+IF(NOT(ISBLANK(AH173)),AH173+AH134,"")</f>
        <v/>
      </c>
      <c r="AI93" s="34" t="str">
        <f>+IF(NOT(ISBLANK(AI173)),AI173+AI134,"")</f>
        <v/>
      </c>
      <c r="AJ93" s="34" t="str">
        <f>+IF(NOT(ISBLANK(AJ173)),AJ173+AJ134,"")</f>
        <v/>
      </c>
      <c r="AK93" s="34" t="str">
        <f>+IF(NOT(ISBLANK(AK173)),AK173+AK134,"")</f>
        <v/>
      </c>
      <c r="AL93" s="34" t="str">
        <f>+IF(NOT(ISBLANK(AL173)),AL173+AL134,"")</f>
        <v/>
      </c>
      <c r="AM93" s="34" t="str">
        <f>+IF(NOT(ISBLANK(AM173)),AM173+AM134,"")</f>
        <v/>
      </c>
      <c r="AN93" s="34" t="str">
        <f>+IF(NOT(ISBLANK(AN173)),AN173+AN134,"")</f>
        <v/>
      </c>
      <c r="AO93" s="34" t="str">
        <f>+IF(NOT(ISBLANK(AO173)),AO173+AO134,"")</f>
        <v/>
      </c>
      <c r="AP93" s="34" t="str">
        <f>+IF(NOT(ISBLANK(AP173)),AP173+AP134,"")</f>
        <v/>
      </c>
      <c r="AQ93" s="34" t="str">
        <f>+IF(NOT(ISBLANK(AQ173)),AQ173+AQ134,"")</f>
        <v/>
      </c>
      <c r="AR93" s="34" t="str">
        <f>+IF(NOT(ISBLANK(AR173)),AR173+AR134,"")</f>
        <v/>
      </c>
      <c r="AS93" s="34" t="str">
        <f>+IF(NOT(ISBLANK(AS173)),AS173+AS134,"")</f>
        <v/>
      </c>
      <c r="AT93" s="34" t="str">
        <f>+IF(NOT(ISBLANK(AT173)),AT173+AT134,"")</f>
        <v/>
      </c>
      <c r="AU93" s="34" t="str">
        <f>+IF(NOT(ISBLANK(AU173)),AU173+AU134,"")</f>
        <v/>
      </c>
      <c r="AV93" s="34" t="str">
        <f>+IF(NOT(ISBLANK(AV173)),AV173+AV134,"")</f>
        <v/>
      </c>
      <c r="AW93" s="34">
        <f>+IF(NOT(ISBLANK(AW173)),AW173+AW134,"")</f>
        <v>-15</v>
      </c>
      <c r="AX93" s="34" t="str">
        <f>+IF(NOT(ISBLANK(AX173)),AX173+AX134,"")</f>
        <v/>
      </c>
      <c r="AY93" s="34" t="str">
        <f>+IF(NOT(ISBLANK(AY173)),AY173+AY134,"")</f>
        <v/>
      </c>
      <c r="AZ93" s="34" t="str">
        <f>+IF(NOT(ISBLANK(AZ173)),AZ173+AZ134,"")</f>
        <v/>
      </c>
      <c r="BA93" s="34" t="str">
        <f>+IF(NOT(ISBLANK(BA173)),BA173+BA134,"")</f>
        <v/>
      </c>
      <c r="BB93" s="34" t="str">
        <f>+IF(NOT(ISBLANK(BB173)),BB173+BB134,"")</f>
        <v/>
      </c>
      <c r="BC93" s="34" t="str">
        <f>+IF(NOT(ISBLANK(BC173)),BC173+BC134,"")</f>
        <v/>
      </c>
      <c r="BD93" s="34" t="str">
        <f>+IF(NOT(ISBLANK(BD173)),BD173+BD134,"")</f>
        <v/>
      </c>
      <c r="BE93" s="34" t="str">
        <f>+IF(NOT(ISBLANK(BE173)),BE173+BE134,"")</f>
        <v/>
      </c>
      <c r="BF93" s="34" t="str">
        <f>+IF(NOT(ISBLANK(BF173)),BF173+BF134,"")</f>
        <v/>
      </c>
      <c r="BG93" s="34" t="str">
        <f>+IF(NOT(ISBLANK(BG173)),BG173+BG134,"")</f>
        <v/>
      </c>
      <c r="BH93" s="34" t="str">
        <f>+IF(NOT(ISBLANK(BH173)),BH173+BH134,"")</f>
        <v/>
      </c>
      <c r="BI93" s="34" t="str">
        <f>+IF(NOT(ISBLANK(BI173)),BI173+BI134,"")</f>
        <v/>
      </c>
      <c r="BJ93" s="34" t="str">
        <f>+IF(NOT(ISBLANK(BJ173)),BJ173+BJ134,"")</f>
        <v/>
      </c>
      <c r="BK93" s="34" t="str">
        <f>+IF(NOT(ISBLANK(BK173)),BK173+BK134,"")</f>
        <v/>
      </c>
      <c r="BL93" s="34" t="str">
        <f>+IF(NOT(ISBLANK(BL173)),BL173+BL134,"")</f>
        <v/>
      </c>
      <c r="BM93" s="34" t="str">
        <f>+IF(NOT(ISBLANK(BM173)),BM173+BM134,"")</f>
        <v/>
      </c>
      <c r="BN93" s="34" t="str">
        <f>+IF(NOT(ISBLANK(BN173)),BN173+BN134,"")</f>
        <v/>
      </c>
      <c r="BO93" s="34" t="str">
        <f>+IF(NOT(ISBLANK(BO173)),BO173+BO134,"")</f>
        <v/>
      </c>
      <c r="BP93" s="34" t="str">
        <f>+IF(NOT(ISBLANK(BP173)),BP173+BP134,"")</f>
        <v/>
      </c>
      <c r="BQ93" s="34" t="str">
        <f>+IF(NOT(ISBLANK(BQ173)),BQ173+BQ134,"")</f>
        <v/>
      </c>
      <c r="BR93" s="34" t="str">
        <f>+IF(NOT(ISBLANK(BR173)),BR173+BR134,"")</f>
        <v/>
      </c>
      <c r="BS93" s="34" t="str">
        <f>+IF(NOT(ISBLANK(BS173)),BS173+BS134,"")</f>
        <v/>
      </c>
      <c r="BT93" s="34" t="str">
        <f>+IF(NOT(ISBLANK(BT173)),BT173+BT134,"")</f>
        <v/>
      </c>
      <c r="BU93" s="34" t="str">
        <f>+IF(NOT(ISBLANK(BU173)),BU173+BU134,"")</f>
        <v/>
      </c>
      <c r="BV93" s="34" t="str">
        <f>+IF(NOT(ISBLANK(BV173)),BV173+BV134,"")</f>
        <v/>
      </c>
      <c r="BW93" s="34" t="str">
        <f>+IF(NOT(ISBLANK(BW173)),BW173+BW134,"")</f>
        <v/>
      </c>
      <c r="BX93" s="34" t="str">
        <f>+IF(NOT(ISBLANK(BX173)),BX173+BX134,"")</f>
        <v/>
      </c>
      <c r="BY93" s="34" t="str">
        <f>+IF(NOT(ISBLANK(BY173)),BY173+BY134,"")</f>
        <v/>
      </c>
      <c r="BZ93" s="34" t="str">
        <f>+IF(NOT(ISBLANK(BZ173)),BZ173+BZ134,"")</f>
        <v/>
      </c>
      <c r="CA93" s="34" t="str">
        <f>+IF(NOT(ISBLANK(CA173)),CA173+CA134,"")</f>
        <v/>
      </c>
      <c r="CB93" s="34" t="str">
        <f>+IF(NOT(ISBLANK(CB173)),CB173+CB134,"")</f>
        <v/>
      </c>
      <c r="CC93" s="34" t="str">
        <f>+IF(NOT(ISBLANK(CC173)),CC173+CC134,"")</f>
        <v/>
      </c>
      <c r="CD93" s="34" t="str">
        <f>+IF(NOT(ISBLANK(CD173)),CD173+CD134,"")</f>
        <v/>
      </c>
      <c r="CE93" s="34" t="str">
        <f>+IF(NOT(ISBLANK(CE173)),CE173+CE134,"")</f>
        <v/>
      </c>
      <c r="CF93" s="34" t="str">
        <f>+IF(NOT(ISBLANK(CF173)),CF173+CF134,"")</f>
        <v/>
      </c>
      <c r="CG93" s="34" t="str">
        <f>+IF(NOT(ISBLANK(CG173)),CG173+CG134,"")</f>
        <v/>
      </c>
      <c r="CH93" s="34" t="str">
        <f>+IF(NOT(ISBLANK(CH173)),CH173+CH134,"")</f>
        <v/>
      </c>
      <c r="CI93" s="34" t="str">
        <f>+IF(NOT(ISBLANK(CI173)),CI173+CI134,"")</f>
        <v/>
      </c>
      <c r="CJ93" s="34" t="str">
        <f>+IF(NOT(ISBLANK(CJ173)),CJ173+CJ134,"")</f>
        <v/>
      </c>
      <c r="CK93" s="34" t="str">
        <f>+IF(NOT(ISBLANK(CK173)),CK173+CK134,"")</f>
        <v/>
      </c>
      <c r="CL93" s="34" t="str">
        <f>+IF(NOT(ISBLANK(CL173)),CL173+CL134,"")</f>
        <v/>
      </c>
      <c r="CM93" s="34" t="str">
        <f>+IF(NOT(ISBLANK(CM173)),CM173+CM134,"")</f>
        <v/>
      </c>
      <c r="CN93" s="34" t="str">
        <f>+IF(NOT(ISBLANK(CN173)),CN173+CN134,"")</f>
        <v/>
      </c>
      <c r="CO93" s="35"/>
      <c r="CP93" s="36">
        <f>+IF(NOT(ISBLANK(CP173)),CP173+CP134,"")</f>
        <v>-15</v>
      </c>
      <c r="CQ93" s="34"/>
      <c r="CR93" s="37">
        <f>+CP134/-CP173-1</f>
        <v>-1</v>
      </c>
      <c r="CS93" s="38">
        <f>+COUNT(D93:CO93)</f>
        <v>1</v>
      </c>
      <c r="CT93" s="38">
        <f>+COUNTIF(D134:CO134,"&gt;0")</f>
        <v>0</v>
      </c>
      <c r="CU93" s="37">
        <f t="shared" ref="CU93" si="160">+CT93/CS93</f>
        <v>0</v>
      </c>
      <c r="CV93" s="37">
        <f>+SUMIF($D134:$CO134,"&gt;0",$D134:$CO134)/-SUMIF($D173:$CO173,"&lt;0",$D$186:$CO$186)</f>
        <v>0</v>
      </c>
      <c r="CW93" s="37">
        <f>+SUMIF($D173:$CO173,"&lt;0",$D173:$CO173)/SUMIF($D173:$CO173,"&lt;0",$D$186:$CO$186)</f>
        <v>8.3333333333333329E-2</v>
      </c>
      <c r="CX93" s="39">
        <f t="shared" ref="CX93" si="161">+CP93/CS93</f>
        <v>-15</v>
      </c>
    </row>
    <row r="94" spans="2:102" ht="12.75" hidden="1" customHeight="1" outlineLevel="1" x14ac:dyDescent="0.2">
      <c r="B94" s="40"/>
      <c r="C94" s="40" t="str">
        <f>+C135</f>
        <v>Eetu Kauppinen</v>
      </c>
      <c r="D94" s="41" t="str">
        <f>+IF(NOT(ISBLANK(D174)),D174+D135,"")</f>
        <v/>
      </c>
      <c r="E94" s="41" t="str">
        <f>+IF(NOT(ISBLANK(E174)),E174+E135,"")</f>
        <v/>
      </c>
      <c r="F94" s="41" t="str">
        <f>+IF(NOT(ISBLANK(F174)),F174+F135,"")</f>
        <v/>
      </c>
      <c r="G94" s="41" t="str">
        <f>+IF(NOT(ISBLANK(G174)),G174+G135,"")</f>
        <v/>
      </c>
      <c r="H94" s="41" t="str">
        <f>+IF(NOT(ISBLANK(H174)),H174+H135,"")</f>
        <v/>
      </c>
      <c r="I94" s="41" t="str">
        <f>+IF(NOT(ISBLANK(I174)),I174+I135,"")</f>
        <v/>
      </c>
      <c r="J94" s="41" t="str">
        <f>+IF(NOT(ISBLANK(J174)),J174+J135,"")</f>
        <v/>
      </c>
      <c r="K94" s="41" t="str">
        <f>+IF(NOT(ISBLANK(K174)),K174+K135,"")</f>
        <v/>
      </c>
      <c r="L94" s="41" t="str">
        <f>+IF(NOT(ISBLANK(L174)),L174+L135,"")</f>
        <v/>
      </c>
      <c r="M94" s="41" t="str">
        <f>+IF(NOT(ISBLANK(M174)),M174+M135,"")</f>
        <v/>
      </c>
      <c r="N94" s="41" t="str">
        <f>+IF(NOT(ISBLANK(N174)),N174+N135,"")</f>
        <v/>
      </c>
      <c r="O94" s="41" t="str">
        <f>+IF(NOT(ISBLANK(O174)),O174+O135,"")</f>
        <v/>
      </c>
      <c r="P94" s="41" t="str">
        <f>+IF(NOT(ISBLANK(P174)),P174+P135,"")</f>
        <v/>
      </c>
      <c r="Q94" s="41" t="str">
        <f>+IF(NOT(ISBLANK(Q174)),Q174+Q135,"")</f>
        <v/>
      </c>
      <c r="R94" s="41" t="str">
        <f>+IF(NOT(ISBLANK(R174)),R174+R135,"")</f>
        <v/>
      </c>
      <c r="S94" s="41" t="str">
        <f>+IF(NOT(ISBLANK(S174)),S174+S135,"")</f>
        <v/>
      </c>
      <c r="T94" s="41" t="str">
        <f>+IF(NOT(ISBLANK(T174)),T174+T135,"")</f>
        <v/>
      </c>
      <c r="U94" s="41" t="str">
        <f>+IF(NOT(ISBLANK(U174)),U174+U135,"")</f>
        <v/>
      </c>
      <c r="V94" s="41" t="str">
        <f>+IF(NOT(ISBLANK(V174)),V174+V135,"")</f>
        <v/>
      </c>
      <c r="W94" s="41" t="str">
        <f>+IF(NOT(ISBLANK(W174)),W174+W135,"")</f>
        <v/>
      </c>
      <c r="X94" s="41" t="str">
        <f>+IF(NOT(ISBLANK(X174)),X174+X135,"")</f>
        <v/>
      </c>
      <c r="Y94" s="41" t="str">
        <f>+IF(NOT(ISBLANK(Y174)),Y174+Y135,"")</f>
        <v/>
      </c>
      <c r="Z94" s="41" t="str">
        <f>+IF(NOT(ISBLANK(Z174)),Z174+Z135,"")</f>
        <v/>
      </c>
      <c r="AA94" s="41" t="str">
        <f>+IF(NOT(ISBLANK(AA174)),AA174+AA135,"")</f>
        <v/>
      </c>
      <c r="AB94" s="41" t="str">
        <f>+IF(NOT(ISBLANK(AB174)),AB174+AB135,"")</f>
        <v/>
      </c>
      <c r="AC94" s="41" t="str">
        <f>+IF(NOT(ISBLANK(AC174)),AC174+AC135,"")</f>
        <v/>
      </c>
      <c r="AD94" s="41" t="str">
        <f>+IF(NOT(ISBLANK(AD174)),AD174+AD135,"")</f>
        <v/>
      </c>
      <c r="AE94" s="41" t="str">
        <f>+IF(NOT(ISBLANK(AE174)),AE174+AE135,"")</f>
        <v/>
      </c>
      <c r="AF94" s="41" t="str">
        <f>+IF(NOT(ISBLANK(AF174)),AF174+AF135,"")</f>
        <v/>
      </c>
      <c r="AG94" s="41" t="str">
        <f>+IF(NOT(ISBLANK(AG174)),AG174+AG135,"")</f>
        <v/>
      </c>
      <c r="AH94" s="41" t="str">
        <f>+IF(NOT(ISBLANK(AH174)),AH174+AH135,"")</f>
        <v/>
      </c>
      <c r="AI94" s="41" t="str">
        <f>+IF(NOT(ISBLANK(AI174)),AI174+AI135,"")</f>
        <v/>
      </c>
      <c r="AJ94" s="41" t="str">
        <f>+IF(NOT(ISBLANK(AJ174)),AJ174+AJ135,"")</f>
        <v/>
      </c>
      <c r="AK94" s="41" t="str">
        <f>+IF(NOT(ISBLANK(AK174)),AK174+AK135,"")</f>
        <v/>
      </c>
      <c r="AL94" s="41" t="str">
        <f>+IF(NOT(ISBLANK(AL174)),AL174+AL135,"")</f>
        <v/>
      </c>
      <c r="AM94" s="41" t="str">
        <f>+IF(NOT(ISBLANK(AM174)),AM174+AM135,"")</f>
        <v/>
      </c>
      <c r="AN94" s="41" t="str">
        <f>+IF(NOT(ISBLANK(AN174)),AN174+AN135,"")</f>
        <v/>
      </c>
      <c r="AO94" s="41" t="str">
        <f>+IF(NOT(ISBLANK(AO174)),AO174+AO135,"")</f>
        <v/>
      </c>
      <c r="AP94" s="41" t="str">
        <f>+IF(NOT(ISBLANK(AP174)),AP174+AP135,"")</f>
        <v/>
      </c>
      <c r="AQ94" s="41" t="str">
        <f>+IF(NOT(ISBLANK(AQ174)),AQ174+AQ135,"")</f>
        <v/>
      </c>
      <c r="AR94" s="41" t="str">
        <f>+IF(NOT(ISBLANK(AR174)),AR174+AR135,"")</f>
        <v/>
      </c>
      <c r="AS94" s="41" t="str">
        <f>+IF(NOT(ISBLANK(AS174)),AS174+AS135,"")</f>
        <v/>
      </c>
      <c r="AT94" s="41" t="str">
        <f>+IF(NOT(ISBLANK(AT174)),AT174+AT135,"")</f>
        <v/>
      </c>
      <c r="AU94" s="41" t="str">
        <f>+IF(NOT(ISBLANK(AU174)),AU174+AU135,"")</f>
        <v/>
      </c>
      <c r="AV94" s="41" t="str">
        <f>+IF(NOT(ISBLANK(AV174)),AV174+AV135,"")</f>
        <v/>
      </c>
      <c r="AW94" s="41" t="str">
        <f>+IF(NOT(ISBLANK(AW174)),AW174+AW135,"")</f>
        <v/>
      </c>
      <c r="AX94" s="41" t="str">
        <f>+IF(NOT(ISBLANK(AX174)),AX174+AX135,"")</f>
        <v/>
      </c>
      <c r="AY94" s="41" t="str">
        <f>+IF(NOT(ISBLANK(AY174)),AY174+AY135,"")</f>
        <v/>
      </c>
      <c r="AZ94" s="41">
        <f>+IF(NOT(ISBLANK(AZ174)),AZ174+AZ135,"")</f>
        <v>-40</v>
      </c>
      <c r="BA94" s="41" t="str">
        <f>+IF(NOT(ISBLANK(BA174)),BA174+BA135,"")</f>
        <v/>
      </c>
      <c r="BB94" s="41" t="str">
        <f>+IF(NOT(ISBLANK(BB174)),BB174+BB135,"")</f>
        <v/>
      </c>
      <c r="BC94" s="41" t="str">
        <f>+IF(NOT(ISBLANK(BC174)),BC174+BC135,"")</f>
        <v/>
      </c>
      <c r="BD94" s="41">
        <f>+IF(NOT(ISBLANK(BD174)),BD174+BD135,"")</f>
        <v>-20</v>
      </c>
      <c r="BE94" s="41" t="str">
        <f>+IF(NOT(ISBLANK(BE174)),BE174+BE135,"")</f>
        <v/>
      </c>
      <c r="BF94" s="41">
        <f>+IF(NOT(ISBLANK(BF174)),BF174+BF135,"")</f>
        <v>-10</v>
      </c>
      <c r="BG94" s="41">
        <f>+IF(NOT(ISBLANK(BG174)),BG174+BG135,"")</f>
        <v>60</v>
      </c>
      <c r="BH94" s="41">
        <f>+IF(NOT(ISBLANK(BH174)),BH174+BH135,"")</f>
        <v>-40</v>
      </c>
      <c r="BI94" s="41" t="str">
        <f>+IF(NOT(ISBLANK(BI174)),BI174+BI135,"")</f>
        <v/>
      </c>
      <c r="BJ94" s="41" t="str">
        <f>+IF(NOT(ISBLANK(BJ174)),BJ174+BJ135,"")</f>
        <v/>
      </c>
      <c r="BK94" s="41" t="str">
        <f>+IF(NOT(ISBLANK(BK174)),BK174+BK135,"")</f>
        <v/>
      </c>
      <c r="BL94" s="41">
        <f>+IF(NOT(ISBLANK(BL174)),BL174+BL135,"")</f>
        <v>-60</v>
      </c>
      <c r="BM94" s="41" t="str">
        <f>+IF(NOT(ISBLANK(BM174)),BM174+BM135,"")</f>
        <v/>
      </c>
      <c r="BN94" s="41">
        <f>+IF(NOT(ISBLANK(BN174)),BN174+BN135,"")</f>
        <v>-20</v>
      </c>
      <c r="BO94" s="41" t="str">
        <f>+IF(NOT(ISBLANK(BO174)),BO174+BO135,"")</f>
        <v/>
      </c>
      <c r="BP94" s="41">
        <f>+IF(NOT(ISBLANK(BP174)),BP174+BP135,"")</f>
        <v>-40</v>
      </c>
      <c r="BQ94" s="41">
        <f>+IF(NOT(ISBLANK(BQ174)),BQ174+BQ135,"")</f>
        <v>-20</v>
      </c>
      <c r="BR94" s="41" t="str">
        <f>+IF(NOT(ISBLANK(BR174)),BR174+BR135,"")</f>
        <v/>
      </c>
      <c r="BS94" s="41" t="str">
        <f>+IF(NOT(ISBLANK(BS174)),BS174+BS135,"")</f>
        <v/>
      </c>
      <c r="BT94" s="41">
        <f>+IF(NOT(ISBLANK(BT174)),BT174+BT135,"")</f>
        <v>140</v>
      </c>
      <c r="BU94" s="41">
        <f>+IF(NOT(ISBLANK(BU174)),BU174+BU135,"")</f>
        <v>120</v>
      </c>
      <c r="BV94" s="41" t="str">
        <f>+IF(NOT(ISBLANK(BV174)),BV174+BV135,"")</f>
        <v/>
      </c>
      <c r="BW94" s="41" t="str">
        <f>+IF(NOT(ISBLANK(BW174)),BW174+BW135,"")</f>
        <v/>
      </c>
      <c r="BX94" s="41" t="str">
        <f>+IF(NOT(ISBLANK(BX174)),BX174+BX135,"")</f>
        <v/>
      </c>
      <c r="BY94" s="41" t="str">
        <f>+IF(NOT(ISBLANK(BY174)),BY174+BY135,"")</f>
        <v/>
      </c>
      <c r="BZ94" s="41" t="str">
        <f>+IF(NOT(ISBLANK(BZ174)),BZ174+BZ135,"")</f>
        <v/>
      </c>
      <c r="CA94" s="41" t="str">
        <f>+IF(NOT(ISBLANK(CA174)),CA174+CA135,"")</f>
        <v/>
      </c>
      <c r="CB94" s="41" t="str">
        <f>+IF(NOT(ISBLANK(CB174)),CB174+CB135,"")</f>
        <v/>
      </c>
      <c r="CC94" s="41" t="str">
        <f>+IF(NOT(ISBLANK(CC174)),CC174+CC135,"")</f>
        <v/>
      </c>
      <c r="CD94" s="41">
        <f>+IF(NOT(ISBLANK(CD174)),CD174+CD135,"")</f>
        <v>-40</v>
      </c>
      <c r="CE94" s="41" t="str">
        <f>+IF(NOT(ISBLANK(CE174)),CE174+CE135,"")</f>
        <v/>
      </c>
      <c r="CF94" s="41" t="str">
        <f>+IF(NOT(ISBLANK(CF174)),CF174+CF135,"")</f>
        <v/>
      </c>
      <c r="CG94" s="41" t="str">
        <f>+IF(NOT(ISBLANK(CG174)),CG174+CG135,"")</f>
        <v/>
      </c>
      <c r="CH94" s="41" t="str">
        <f>+IF(NOT(ISBLANK(CH174)),CH174+CH135,"")</f>
        <v/>
      </c>
      <c r="CI94" s="41" t="str">
        <f>+IF(NOT(ISBLANK(CI174)),CI174+CI135,"")</f>
        <v/>
      </c>
      <c r="CJ94" s="41" t="str">
        <f>+IF(NOT(ISBLANK(CJ174)),CJ174+CJ135,"")</f>
        <v/>
      </c>
      <c r="CK94" s="41" t="str">
        <f>+IF(NOT(ISBLANK(CK174)),CK174+CK135,"")</f>
        <v/>
      </c>
      <c r="CL94" s="41" t="str">
        <f>+IF(NOT(ISBLANK(CL174)),CL174+CL135,"")</f>
        <v/>
      </c>
      <c r="CM94" s="41">
        <f>+IF(NOT(ISBLANK(CM174)),CM174+CM135,"")</f>
        <v>-90</v>
      </c>
      <c r="CN94" s="41" t="str">
        <f>+IF(NOT(ISBLANK(CN174)),CN174+CN135,"")</f>
        <v/>
      </c>
      <c r="CO94" s="42"/>
      <c r="CP94" s="29">
        <f>+IF(NOT(ISBLANK(CP174)),CP174+CP135,"")</f>
        <v>-60</v>
      </c>
      <c r="CQ94" s="41"/>
      <c r="CR94" s="30">
        <f>+CP135/-CP174-1</f>
        <v>-0.13793103448275867</v>
      </c>
      <c r="CS94" s="31">
        <f>+COUNT(D94:CO94)</f>
        <v>13</v>
      </c>
      <c r="CT94" s="31">
        <f>+COUNTIF(D135:CO135,"&gt;0")</f>
        <v>3</v>
      </c>
      <c r="CU94" s="30">
        <f t="shared" ref="CU94" si="162">+CT94/CS94</f>
        <v>0.23076923076923078</v>
      </c>
      <c r="CV94" s="30">
        <f>+SUMIF($D135:$CO135,"&gt;0",$D135:$CO135)/-SUMIF($D174:$CO174,"&lt;0",$D$186:$CO$186)</f>
        <v>0.14340344168260039</v>
      </c>
      <c r="CW94" s="30">
        <f>+SUMIF($D174:$CO174,"&lt;0",$D174:$CO174)/SUMIF($D174:$CO174,"&lt;0",$D$186:$CO$186)</f>
        <v>0.16634799235181644</v>
      </c>
      <c r="CX94" s="32">
        <f t="shared" ref="CX94" si="163">+CP94/CS94</f>
        <v>-4.615384615384615</v>
      </c>
    </row>
    <row r="95" spans="2:102" ht="12.75" hidden="1" customHeight="1" outlineLevel="1" x14ac:dyDescent="0.2">
      <c r="B95" s="33"/>
      <c r="C95" s="33" t="str">
        <f>+C136</f>
        <v>[Joniksen kämppis]</v>
      </c>
      <c r="D95" s="34" t="str">
        <f>+IF(NOT(ISBLANK(D175)),D175+D136,"")</f>
        <v/>
      </c>
      <c r="E95" s="34" t="str">
        <f>+IF(NOT(ISBLANK(E175)),E175+E136,"")</f>
        <v/>
      </c>
      <c r="F95" s="34" t="str">
        <f>+IF(NOT(ISBLANK(F175)),F175+F136,"")</f>
        <v/>
      </c>
      <c r="G95" s="34" t="str">
        <f>+IF(NOT(ISBLANK(G175)),G175+G136,"")</f>
        <v/>
      </c>
      <c r="H95" s="34" t="str">
        <f>+IF(NOT(ISBLANK(H175)),H175+H136,"")</f>
        <v/>
      </c>
      <c r="I95" s="34" t="str">
        <f>+IF(NOT(ISBLANK(I175)),I175+I136,"")</f>
        <v/>
      </c>
      <c r="J95" s="34" t="str">
        <f>+IF(NOT(ISBLANK(J175)),J175+J136,"")</f>
        <v/>
      </c>
      <c r="K95" s="34" t="str">
        <f>+IF(NOT(ISBLANK(K175)),K175+K136,"")</f>
        <v/>
      </c>
      <c r="L95" s="34" t="str">
        <f>+IF(NOT(ISBLANK(L175)),L175+L136,"")</f>
        <v/>
      </c>
      <c r="M95" s="34" t="str">
        <f>+IF(NOT(ISBLANK(M175)),M175+M136,"")</f>
        <v/>
      </c>
      <c r="N95" s="34" t="str">
        <f>+IF(NOT(ISBLANK(N175)),N175+N136,"")</f>
        <v/>
      </c>
      <c r="O95" s="34" t="str">
        <f>+IF(NOT(ISBLANK(O175)),O175+O136,"")</f>
        <v/>
      </c>
      <c r="P95" s="34" t="str">
        <f>+IF(NOT(ISBLANK(P175)),P175+P136,"")</f>
        <v/>
      </c>
      <c r="Q95" s="34" t="str">
        <f>+IF(NOT(ISBLANK(Q175)),Q175+Q136,"")</f>
        <v/>
      </c>
      <c r="R95" s="34" t="str">
        <f>+IF(NOT(ISBLANK(R175)),R175+R136,"")</f>
        <v/>
      </c>
      <c r="S95" s="34" t="str">
        <f>+IF(NOT(ISBLANK(S175)),S175+S136,"")</f>
        <v/>
      </c>
      <c r="T95" s="34" t="str">
        <f>+IF(NOT(ISBLANK(T175)),T175+T136,"")</f>
        <v/>
      </c>
      <c r="U95" s="34" t="str">
        <f>+IF(NOT(ISBLANK(U175)),U175+U136,"")</f>
        <v/>
      </c>
      <c r="V95" s="34" t="str">
        <f>+IF(NOT(ISBLANK(V175)),V175+V136,"")</f>
        <v/>
      </c>
      <c r="W95" s="34" t="str">
        <f>+IF(NOT(ISBLANK(W175)),W175+W136,"")</f>
        <v/>
      </c>
      <c r="X95" s="34" t="str">
        <f>+IF(NOT(ISBLANK(X175)),X175+X136,"")</f>
        <v/>
      </c>
      <c r="Y95" s="34" t="str">
        <f>+IF(NOT(ISBLANK(Y175)),Y175+Y136,"")</f>
        <v/>
      </c>
      <c r="Z95" s="34" t="str">
        <f>+IF(NOT(ISBLANK(Z175)),Z175+Z136,"")</f>
        <v/>
      </c>
      <c r="AA95" s="34" t="str">
        <f>+IF(NOT(ISBLANK(AA175)),AA175+AA136,"")</f>
        <v/>
      </c>
      <c r="AB95" s="34" t="str">
        <f>+IF(NOT(ISBLANK(AB175)),AB175+AB136,"")</f>
        <v/>
      </c>
      <c r="AC95" s="34" t="str">
        <f>+IF(NOT(ISBLANK(AC175)),AC175+AC136,"")</f>
        <v/>
      </c>
      <c r="AD95" s="34" t="str">
        <f>+IF(NOT(ISBLANK(AD175)),AD175+AD136,"")</f>
        <v/>
      </c>
      <c r="AE95" s="34" t="str">
        <f>+IF(NOT(ISBLANK(AE175)),AE175+AE136,"")</f>
        <v/>
      </c>
      <c r="AF95" s="34" t="str">
        <f>+IF(NOT(ISBLANK(AF175)),AF175+AF136,"")</f>
        <v/>
      </c>
      <c r="AG95" s="34" t="str">
        <f>+IF(NOT(ISBLANK(AG175)),AG175+AG136,"")</f>
        <v/>
      </c>
      <c r="AH95" s="34" t="str">
        <f>+IF(NOT(ISBLANK(AH175)),AH175+AH136,"")</f>
        <v/>
      </c>
      <c r="AI95" s="34" t="str">
        <f>+IF(NOT(ISBLANK(AI175)),AI175+AI136,"")</f>
        <v/>
      </c>
      <c r="AJ95" s="34" t="str">
        <f>+IF(NOT(ISBLANK(AJ175)),AJ175+AJ136,"")</f>
        <v/>
      </c>
      <c r="AK95" s="34" t="str">
        <f>+IF(NOT(ISBLANK(AK175)),AK175+AK136,"")</f>
        <v/>
      </c>
      <c r="AL95" s="34" t="str">
        <f>+IF(NOT(ISBLANK(AL175)),AL175+AL136,"")</f>
        <v/>
      </c>
      <c r="AM95" s="34" t="str">
        <f>+IF(NOT(ISBLANK(AM175)),AM175+AM136,"")</f>
        <v/>
      </c>
      <c r="AN95" s="34" t="str">
        <f>+IF(NOT(ISBLANK(AN175)),AN175+AN136,"")</f>
        <v/>
      </c>
      <c r="AO95" s="34" t="str">
        <f>+IF(NOT(ISBLANK(AO175)),AO175+AO136,"")</f>
        <v/>
      </c>
      <c r="AP95" s="34" t="str">
        <f>+IF(NOT(ISBLANK(AP175)),AP175+AP136,"")</f>
        <v/>
      </c>
      <c r="AQ95" s="34" t="str">
        <f>+IF(NOT(ISBLANK(AQ175)),AQ175+AQ136,"")</f>
        <v/>
      </c>
      <c r="AR95" s="34" t="str">
        <f>+IF(NOT(ISBLANK(AR175)),AR175+AR136,"")</f>
        <v/>
      </c>
      <c r="AS95" s="34" t="str">
        <f>+IF(NOT(ISBLANK(AS175)),AS175+AS136,"")</f>
        <v/>
      </c>
      <c r="AT95" s="34" t="str">
        <f>+IF(NOT(ISBLANK(AT175)),AT175+AT136,"")</f>
        <v/>
      </c>
      <c r="AU95" s="34" t="str">
        <f>+IF(NOT(ISBLANK(AU175)),AU175+AU136,"")</f>
        <v/>
      </c>
      <c r="AV95" s="34" t="str">
        <f>+IF(NOT(ISBLANK(AV175)),AV175+AV136,"")</f>
        <v/>
      </c>
      <c r="AW95" s="34" t="str">
        <f>+IF(NOT(ISBLANK(AW175)),AW175+AW136,"")</f>
        <v/>
      </c>
      <c r="AX95" s="34" t="str">
        <f>+IF(NOT(ISBLANK(AX175)),AX175+AX136,"")</f>
        <v/>
      </c>
      <c r="AY95" s="34" t="str">
        <f>+IF(NOT(ISBLANK(AY175)),AY175+AY136,"")</f>
        <v/>
      </c>
      <c r="AZ95" s="34" t="str">
        <f>+IF(NOT(ISBLANK(AZ175)),AZ175+AZ136,"")</f>
        <v/>
      </c>
      <c r="BA95" s="34" t="str">
        <f>+IF(NOT(ISBLANK(BA175)),BA175+BA136,"")</f>
        <v/>
      </c>
      <c r="BB95" s="34" t="str">
        <f>+IF(NOT(ISBLANK(BB175)),BB175+BB136,"")</f>
        <v/>
      </c>
      <c r="BC95" s="34" t="str">
        <f>+IF(NOT(ISBLANK(BC175)),BC175+BC136,"")</f>
        <v/>
      </c>
      <c r="BD95" s="34">
        <f>+IF(NOT(ISBLANK(BD175)),BD175+BD136,"")</f>
        <v>-40</v>
      </c>
      <c r="BE95" s="34" t="str">
        <f>+IF(NOT(ISBLANK(BE175)),BE175+BE136,"")</f>
        <v/>
      </c>
      <c r="BF95" s="34" t="str">
        <f>+IF(NOT(ISBLANK(BF175)),BF175+BF136,"")</f>
        <v/>
      </c>
      <c r="BG95" s="34" t="str">
        <f>+IF(NOT(ISBLANK(BG175)),BG175+BG136,"")</f>
        <v/>
      </c>
      <c r="BH95" s="34" t="str">
        <f>+IF(NOT(ISBLANK(BH175)),BH175+BH136,"")</f>
        <v/>
      </c>
      <c r="BI95" s="34" t="str">
        <f>+IF(NOT(ISBLANK(BI175)),BI175+BI136,"")</f>
        <v/>
      </c>
      <c r="BJ95" s="34" t="str">
        <f>+IF(NOT(ISBLANK(BJ175)),BJ175+BJ136,"")</f>
        <v/>
      </c>
      <c r="BK95" s="34" t="str">
        <f>+IF(NOT(ISBLANK(BK175)),BK175+BK136,"")</f>
        <v/>
      </c>
      <c r="BL95" s="34" t="str">
        <f>+IF(NOT(ISBLANK(BL175)),BL175+BL136,"")</f>
        <v/>
      </c>
      <c r="BM95" s="34" t="str">
        <f>+IF(NOT(ISBLANK(BM175)),BM175+BM136,"")</f>
        <v/>
      </c>
      <c r="BN95" s="34" t="str">
        <f>+IF(NOT(ISBLANK(BN175)),BN175+BN136,"")</f>
        <v/>
      </c>
      <c r="BO95" s="34" t="str">
        <f>+IF(NOT(ISBLANK(BO175)),BO175+BO136,"")</f>
        <v/>
      </c>
      <c r="BP95" s="34" t="str">
        <f>+IF(NOT(ISBLANK(BP175)),BP175+BP136,"")</f>
        <v/>
      </c>
      <c r="BQ95" s="34" t="str">
        <f>+IF(NOT(ISBLANK(BQ175)),BQ175+BQ136,"")</f>
        <v/>
      </c>
      <c r="BR95" s="34" t="str">
        <f>+IF(NOT(ISBLANK(BR175)),BR175+BR136,"")</f>
        <v/>
      </c>
      <c r="BS95" s="34" t="str">
        <f>+IF(NOT(ISBLANK(BS175)),BS175+BS136,"")</f>
        <v/>
      </c>
      <c r="BT95" s="34" t="str">
        <f>+IF(NOT(ISBLANK(BT175)),BT175+BT136,"")</f>
        <v/>
      </c>
      <c r="BU95" s="34" t="str">
        <f>+IF(NOT(ISBLANK(BU175)),BU175+BU136,"")</f>
        <v/>
      </c>
      <c r="BV95" s="34" t="str">
        <f>+IF(NOT(ISBLANK(BV175)),BV175+BV136,"")</f>
        <v/>
      </c>
      <c r="BW95" s="34" t="str">
        <f>+IF(NOT(ISBLANK(BW175)),BW175+BW136,"")</f>
        <v/>
      </c>
      <c r="BX95" s="34" t="str">
        <f>+IF(NOT(ISBLANK(BX175)),BX175+BX136,"")</f>
        <v/>
      </c>
      <c r="BY95" s="34" t="str">
        <f>+IF(NOT(ISBLANK(BY175)),BY175+BY136,"")</f>
        <v/>
      </c>
      <c r="BZ95" s="34" t="str">
        <f>+IF(NOT(ISBLANK(BZ175)),BZ175+BZ136,"")</f>
        <v/>
      </c>
      <c r="CA95" s="34" t="str">
        <f>+IF(NOT(ISBLANK(CA175)),CA175+CA136,"")</f>
        <v/>
      </c>
      <c r="CB95" s="34" t="str">
        <f>+IF(NOT(ISBLANK(CB175)),CB175+CB136,"")</f>
        <v/>
      </c>
      <c r="CC95" s="34" t="str">
        <f>+IF(NOT(ISBLANK(CC175)),CC175+CC136,"")</f>
        <v/>
      </c>
      <c r="CD95" s="34" t="str">
        <f>+IF(NOT(ISBLANK(CD175)),CD175+CD136,"")</f>
        <v/>
      </c>
      <c r="CE95" s="34" t="str">
        <f>+IF(NOT(ISBLANK(CE175)),CE175+CE136,"")</f>
        <v/>
      </c>
      <c r="CF95" s="34" t="str">
        <f>+IF(NOT(ISBLANK(CF175)),CF175+CF136,"")</f>
        <v/>
      </c>
      <c r="CG95" s="34" t="str">
        <f>+IF(NOT(ISBLANK(CG175)),CG175+CG136,"")</f>
        <v/>
      </c>
      <c r="CH95" s="34" t="str">
        <f>+IF(NOT(ISBLANK(CH175)),CH175+CH136,"")</f>
        <v/>
      </c>
      <c r="CI95" s="34" t="str">
        <f>+IF(NOT(ISBLANK(CI175)),CI175+CI136,"")</f>
        <v/>
      </c>
      <c r="CJ95" s="34" t="str">
        <f>+IF(NOT(ISBLANK(CJ175)),CJ175+CJ136,"")</f>
        <v/>
      </c>
      <c r="CK95" s="34" t="str">
        <f>+IF(NOT(ISBLANK(CK175)),CK175+CK136,"")</f>
        <v/>
      </c>
      <c r="CL95" s="34" t="str">
        <f>+IF(NOT(ISBLANK(CL175)),CL175+CL136,"")</f>
        <v/>
      </c>
      <c r="CM95" s="34" t="str">
        <f>+IF(NOT(ISBLANK(CM175)),CM175+CM136,"")</f>
        <v/>
      </c>
      <c r="CN95" s="34" t="str">
        <f>+IF(NOT(ISBLANK(CN175)),CN175+CN136,"")</f>
        <v/>
      </c>
      <c r="CO95" s="35"/>
      <c r="CP95" s="36">
        <f>+IF(NOT(ISBLANK(CP175)),CP175+CP136,"")</f>
        <v>-40</v>
      </c>
      <c r="CQ95" s="34"/>
      <c r="CR95" s="37">
        <f>+CP136/-CP175-1</f>
        <v>-1</v>
      </c>
      <c r="CS95" s="38">
        <f>+COUNT(D95:CO95)</f>
        <v>1</v>
      </c>
      <c r="CT95" s="38">
        <f>+COUNTIF(D136:CO136,"&gt;0")</f>
        <v>0</v>
      </c>
      <c r="CU95" s="37">
        <f t="shared" ref="CU95" si="164">+CT95/CS95</f>
        <v>0</v>
      </c>
      <c r="CV95" s="37">
        <f>+SUMIF($D136:$CO136,"&gt;0",$D136:$CO136)/-SUMIF($D175:$CO175,"&lt;0",$D$186:$CO$186)</f>
        <v>0</v>
      </c>
      <c r="CW95" s="37">
        <f>+SUMIF($D175:$CO175,"&lt;0",$D175:$CO175)/SUMIF($D175:$CO175,"&lt;0",$D$186:$CO$186)</f>
        <v>0.22222222222222221</v>
      </c>
      <c r="CX95" s="39">
        <f t="shared" ref="CX95:CX96" si="165">+CP95/CS95</f>
        <v>-40</v>
      </c>
    </row>
    <row r="96" spans="2:102" ht="12.75" hidden="1" customHeight="1" outlineLevel="1" x14ac:dyDescent="0.2">
      <c r="B96" s="40"/>
      <c r="C96" s="40" t="str">
        <f>+C137</f>
        <v>Tresor Banzuzi</v>
      </c>
      <c r="D96" s="41" t="str">
        <f>+IF(NOT(ISBLANK(D176)),D176+D137,"")</f>
        <v/>
      </c>
      <c r="E96" s="41" t="str">
        <f>+IF(NOT(ISBLANK(E176)),E176+E137,"")</f>
        <v/>
      </c>
      <c r="F96" s="41" t="str">
        <f>+IF(NOT(ISBLANK(F176)),F176+F137,"")</f>
        <v/>
      </c>
      <c r="G96" s="41" t="str">
        <f>+IF(NOT(ISBLANK(G176)),G176+G137,"")</f>
        <v/>
      </c>
      <c r="H96" s="41" t="str">
        <f>+IF(NOT(ISBLANK(H176)),H176+H137,"")</f>
        <v/>
      </c>
      <c r="I96" s="41" t="str">
        <f>+IF(NOT(ISBLANK(I176)),I176+I137,"")</f>
        <v/>
      </c>
      <c r="J96" s="41" t="str">
        <f>+IF(NOT(ISBLANK(J176)),J176+J137,"")</f>
        <v/>
      </c>
      <c r="K96" s="41" t="str">
        <f>+IF(NOT(ISBLANK(K176)),K176+K137,"")</f>
        <v/>
      </c>
      <c r="L96" s="41" t="str">
        <f>+IF(NOT(ISBLANK(L176)),L176+L137,"")</f>
        <v/>
      </c>
      <c r="M96" s="41" t="str">
        <f>+IF(NOT(ISBLANK(M176)),M176+M137,"")</f>
        <v/>
      </c>
      <c r="N96" s="41" t="str">
        <f>+IF(NOT(ISBLANK(N176)),N176+N137,"")</f>
        <v/>
      </c>
      <c r="O96" s="41" t="str">
        <f>+IF(NOT(ISBLANK(O176)),O176+O137,"")</f>
        <v/>
      </c>
      <c r="P96" s="41" t="str">
        <f>+IF(NOT(ISBLANK(P176)),P176+P137,"")</f>
        <v/>
      </c>
      <c r="Q96" s="41" t="str">
        <f>+IF(NOT(ISBLANK(Q176)),Q176+Q137,"")</f>
        <v/>
      </c>
      <c r="R96" s="41" t="str">
        <f>+IF(NOT(ISBLANK(R176)),R176+R137,"")</f>
        <v/>
      </c>
      <c r="S96" s="41" t="str">
        <f>+IF(NOT(ISBLANK(S176)),S176+S137,"")</f>
        <v/>
      </c>
      <c r="T96" s="41" t="str">
        <f>+IF(NOT(ISBLANK(T176)),T176+T137,"")</f>
        <v/>
      </c>
      <c r="U96" s="41" t="str">
        <f>+IF(NOT(ISBLANK(U176)),U176+U137,"")</f>
        <v/>
      </c>
      <c r="V96" s="41" t="str">
        <f>+IF(NOT(ISBLANK(V176)),V176+V137,"")</f>
        <v/>
      </c>
      <c r="W96" s="41" t="str">
        <f>+IF(NOT(ISBLANK(W176)),W176+W137,"")</f>
        <v/>
      </c>
      <c r="X96" s="41" t="str">
        <f>+IF(NOT(ISBLANK(X176)),X176+X137,"")</f>
        <v/>
      </c>
      <c r="Y96" s="41" t="str">
        <f>+IF(NOT(ISBLANK(Y176)),Y176+Y137,"")</f>
        <v/>
      </c>
      <c r="Z96" s="41" t="str">
        <f>+IF(NOT(ISBLANK(Z176)),Z176+Z137,"")</f>
        <v/>
      </c>
      <c r="AA96" s="41" t="str">
        <f>+IF(NOT(ISBLANK(AA176)),AA176+AA137,"")</f>
        <v/>
      </c>
      <c r="AB96" s="41" t="str">
        <f>+IF(NOT(ISBLANK(AB176)),AB176+AB137,"")</f>
        <v/>
      </c>
      <c r="AC96" s="41" t="str">
        <f>+IF(NOT(ISBLANK(AC176)),AC176+AC137,"")</f>
        <v/>
      </c>
      <c r="AD96" s="41" t="str">
        <f>+IF(NOT(ISBLANK(AD176)),AD176+AD137,"")</f>
        <v/>
      </c>
      <c r="AE96" s="41" t="str">
        <f>+IF(NOT(ISBLANK(AE176)),AE176+AE137,"")</f>
        <v/>
      </c>
      <c r="AF96" s="41" t="str">
        <f>+IF(NOT(ISBLANK(AF176)),AF176+AF137,"")</f>
        <v/>
      </c>
      <c r="AG96" s="41" t="str">
        <f>+IF(NOT(ISBLANK(AG176)),AG176+AG137,"")</f>
        <v/>
      </c>
      <c r="AH96" s="41" t="str">
        <f>+IF(NOT(ISBLANK(AH176)),AH176+AH137,"")</f>
        <v/>
      </c>
      <c r="AI96" s="41" t="str">
        <f>+IF(NOT(ISBLANK(AI176)),AI176+AI137,"")</f>
        <v/>
      </c>
      <c r="AJ96" s="41" t="str">
        <f>+IF(NOT(ISBLANK(AJ176)),AJ176+AJ137,"")</f>
        <v/>
      </c>
      <c r="AK96" s="41" t="str">
        <f>+IF(NOT(ISBLANK(AK176)),AK176+AK137,"")</f>
        <v/>
      </c>
      <c r="AL96" s="41" t="str">
        <f>+IF(NOT(ISBLANK(AL176)),AL176+AL137,"")</f>
        <v/>
      </c>
      <c r="AM96" s="41" t="str">
        <f>+IF(NOT(ISBLANK(AM176)),AM176+AM137,"")</f>
        <v/>
      </c>
      <c r="AN96" s="41" t="str">
        <f>+IF(NOT(ISBLANK(AN176)),AN176+AN137,"")</f>
        <v/>
      </c>
      <c r="AO96" s="41" t="str">
        <f>+IF(NOT(ISBLANK(AO176)),AO176+AO137,"")</f>
        <v/>
      </c>
      <c r="AP96" s="41" t="str">
        <f>+IF(NOT(ISBLANK(AP176)),AP176+AP137,"")</f>
        <v/>
      </c>
      <c r="AQ96" s="41" t="str">
        <f>+IF(NOT(ISBLANK(AQ176)),AQ176+AQ137,"")</f>
        <v/>
      </c>
      <c r="AR96" s="41" t="str">
        <f>+IF(NOT(ISBLANK(AR176)),AR176+AR137,"")</f>
        <v/>
      </c>
      <c r="AS96" s="41" t="str">
        <f>+IF(NOT(ISBLANK(AS176)),AS176+AS137,"")</f>
        <v/>
      </c>
      <c r="AT96" s="41" t="str">
        <f>+IF(NOT(ISBLANK(AT176)),AT176+AT137,"")</f>
        <v/>
      </c>
      <c r="AU96" s="41" t="str">
        <f>+IF(NOT(ISBLANK(AU176)),AU176+AU137,"")</f>
        <v/>
      </c>
      <c r="AV96" s="41" t="str">
        <f>+IF(NOT(ISBLANK(AV176)),AV176+AV137,"")</f>
        <v/>
      </c>
      <c r="AW96" s="41" t="str">
        <f>+IF(NOT(ISBLANK(AW176)),AW176+AW137,"")</f>
        <v/>
      </c>
      <c r="AX96" s="41" t="str">
        <f>+IF(NOT(ISBLANK(AX176)),AX176+AX137,"")</f>
        <v/>
      </c>
      <c r="AY96" s="41" t="str">
        <f>+IF(NOT(ISBLANK(AY176)),AY176+AY137,"")</f>
        <v/>
      </c>
      <c r="AZ96" s="41" t="str">
        <f>+IF(NOT(ISBLANK(AZ176)),AZ176+AZ137,"")</f>
        <v/>
      </c>
      <c r="BA96" s="41" t="str">
        <f>+IF(NOT(ISBLANK(BA176)),BA176+BA137,"")</f>
        <v/>
      </c>
      <c r="BB96" s="41" t="str">
        <f>+IF(NOT(ISBLANK(BB176)),BB176+BB137,"")</f>
        <v/>
      </c>
      <c r="BC96" s="41" t="str">
        <f>+IF(NOT(ISBLANK(BC176)),BC176+BC137,"")</f>
        <v/>
      </c>
      <c r="BD96" s="41" t="str">
        <f>+IF(NOT(ISBLANK(BD176)),BD176+BD137,"")</f>
        <v/>
      </c>
      <c r="BE96" s="41" t="str">
        <f>+IF(NOT(ISBLANK(BE176)),BE176+BE137,"")</f>
        <v/>
      </c>
      <c r="BF96" s="41" t="str">
        <f>+IF(NOT(ISBLANK(BF176)),BF176+BF137,"")</f>
        <v/>
      </c>
      <c r="BG96" s="41" t="str">
        <f>+IF(NOT(ISBLANK(BG176)),BG176+BG137,"")</f>
        <v/>
      </c>
      <c r="BH96" s="41" t="str">
        <f>+IF(NOT(ISBLANK(BH176)),BH176+BH137,"")</f>
        <v/>
      </c>
      <c r="BI96" s="41">
        <f>+IF(NOT(ISBLANK(BI176)),BI176+BI137,"")</f>
        <v>-20</v>
      </c>
      <c r="BJ96" s="41" t="str">
        <f>+IF(NOT(ISBLANK(BJ176)),BJ176+BJ137,"")</f>
        <v/>
      </c>
      <c r="BK96" s="41" t="str">
        <f>+IF(NOT(ISBLANK(BK176)),BK176+BK137,"")</f>
        <v/>
      </c>
      <c r="BL96" s="41" t="str">
        <f>+IF(NOT(ISBLANK(BL176)),BL176+BL137,"")</f>
        <v/>
      </c>
      <c r="BM96" s="41" t="str">
        <f>+IF(NOT(ISBLANK(BM176)),BM176+BM137,"")</f>
        <v/>
      </c>
      <c r="BN96" s="41" t="str">
        <f>+IF(NOT(ISBLANK(BN176)),BN176+BN137,"")</f>
        <v/>
      </c>
      <c r="BO96" s="41" t="str">
        <f>+IF(NOT(ISBLANK(BO176)),BO176+BO137,"")</f>
        <v/>
      </c>
      <c r="BP96" s="41" t="str">
        <f>+IF(NOT(ISBLANK(BP176)),BP176+BP137,"")</f>
        <v/>
      </c>
      <c r="BQ96" s="41" t="str">
        <f>+IF(NOT(ISBLANK(BQ176)),BQ176+BQ137,"")</f>
        <v/>
      </c>
      <c r="BR96" s="41" t="str">
        <f>+IF(NOT(ISBLANK(BR176)),BR176+BR137,"")</f>
        <v/>
      </c>
      <c r="BS96" s="41" t="str">
        <f>+IF(NOT(ISBLANK(BS176)),BS176+BS137,"")</f>
        <v/>
      </c>
      <c r="BT96" s="41" t="str">
        <f>+IF(NOT(ISBLANK(BT176)),BT176+BT137,"")</f>
        <v/>
      </c>
      <c r="BU96" s="41" t="str">
        <f>+IF(NOT(ISBLANK(BU176)),BU176+BU137,"")</f>
        <v/>
      </c>
      <c r="BV96" s="41" t="str">
        <f>+IF(NOT(ISBLANK(BV176)),BV176+BV137,"")</f>
        <v/>
      </c>
      <c r="BW96" s="41" t="str">
        <f>+IF(NOT(ISBLANK(BW176)),BW176+BW137,"")</f>
        <v/>
      </c>
      <c r="BX96" s="41" t="str">
        <f>+IF(NOT(ISBLANK(BX176)),BX176+BX137,"")</f>
        <v/>
      </c>
      <c r="BY96" s="41" t="str">
        <f>+IF(NOT(ISBLANK(BY176)),BY176+BY137,"")</f>
        <v/>
      </c>
      <c r="BZ96" s="41" t="str">
        <f>+IF(NOT(ISBLANK(BZ176)),BZ176+BZ137,"")</f>
        <v/>
      </c>
      <c r="CA96" s="41" t="str">
        <f>+IF(NOT(ISBLANK(CA176)),CA176+CA137,"")</f>
        <v/>
      </c>
      <c r="CB96" s="41" t="str">
        <f>+IF(NOT(ISBLANK(CB176)),CB176+CB137,"")</f>
        <v/>
      </c>
      <c r="CC96" s="41" t="str">
        <f>+IF(NOT(ISBLANK(CC176)),CC176+CC137,"")</f>
        <v/>
      </c>
      <c r="CD96" s="41" t="str">
        <f>+IF(NOT(ISBLANK(CD176)),CD176+CD137,"")</f>
        <v/>
      </c>
      <c r="CE96" s="41" t="str">
        <f>+IF(NOT(ISBLANK(CE176)),CE176+CE137,"")</f>
        <v/>
      </c>
      <c r="CF96" s="41" t="str">
        <f>+IF(NOT(ISBLANK(CF176)),CF176+CF137,"")</f>
        <v/>
      </c>
      <c r="CG96" s="41" t="str">
        <f>+IF(NOT(ISBLANK(CG176)),CG176+CG137,"")</f>
        <v/>
      </c>
      <c r="CH96" s="41" t="str">
        <f>+IF(NOT(ISBLANK(CH176)),CH176+CH137,"")</f>
        <v/>
      </c>
      <c r="CI96" s="41" t="str">
        <f>+IF(NOT(ISBLANK(CI176)),CI176+CI137,"")</f>
        <v/>
      </c>
      <c r="CJ96" s="41">
        <f>+IF(NOT(ISBLANK(CJ176)),CJ176+CJ137,"")</f>
        <v>-20</v>
      </c>
      <c r="CK96" s="41" t="str">
        <f>+IF(NOT(ISBLANK(CK176)),CK176+CK137,"")</f>
        <v/>
      </c>
      <c r="CL96" s="41" t="str">
        <f>+IF(NOT(ISBLANK(CL176)),CL176+CL137,"")</f>
        <v/>
      </c>
      <c r="CM96" s="41" t="str">
        <f>+IF(NOT(ISBLANK(CM176)),CM176+CM137,"")</f>
        <v/>
      </c>
      <c r="CN96" s="41" t="str">
        <f>+IF(NOT(ISBLANK(CN176)),CN176+CN137,"")</f>
        <v/>
      </c>
      <c r="CO96" s="42"/>
      <c r="CP96" s="29">
        <f>+IF(NOT(ISBLANK(CP176)),CP176+CP137,"")</f>
        <v>-40</v>
      </c>
      <c r="CQ96" s="41"/>
      <c r="CR96" s="30">
        <f>+CP137/-CP176-1</f>
        <v>-1</v>
      </c>
      <c r="CS96" s="31">
        <f>+COUNT(D96:CO96)</f>
        <v>2</v>
      </c>
      <c r="CT96" s="31">
        <f>+COUNTIF(D137:CO137,"&gt;0")</f>
        <v>0</v>
      </c>
      <c r="CU96" s="30">
        <f>+CT96/CS96</f>
        <v>0</v>
      </c>
      <c r="CV96" s="30">
        <f>+SUMIF($D137:$CO137,"&gt;0",$D137:$CO137)/-SUMIF($D176:$CO176,"&lt;0",$D$186:$CO$186)</f>
        <v>0</v>
      </c>
      <c r="CW96" s="30">
        <f>+SUMIF($D176:$CO176,"&lt;0",$D176:$CO176)/SUMIF($D176:$CO176,"&lt;0",$D$186:$CO$186)</f>
        <v>0.2</v>
      </c>
      <c r="CX96" s="32">
        <f t="shared" si="165"/>
        <v>-20</v>
      </c>
    </row>
    <row r="97" spans="2:102" ht="12.75" hidden="1" customHeight="1" outlineLevel="1" x14ac:dyDescent="0.2">
      <c r="B97" s="33"/>
      <c r="C97" s="33" t="str">
        <f>+C138</f>
        <v>Aleksi Järveläinen</v>
      </c>
      <c r="D97" s="34" t="str">
        <f>+IF(NOT(ISBLANK(D177)),D177+D138,"")</f>
        <v/>
      </c>
      <c r="E97" s="34" t="str">
        <f>+IF(NOT(ISBLANK(E177)),E177+E138,"")</f>
        <v/>
      </c>
      <c r="F97" s="34" t="str">
        <f>+IF(NOT(ISBLANK(F177)),F177+F138,"")</f>
        <v/>
      </c>
      <c r="G97" s="34" t="str">
        <f>+IF(NOT(ISBLANK(G177)),G177+G138,"")</f>
        <v/>
      </c>
      <c r="H97" s="34" t="str">
        <f>+IF(NOT(ISBLANK(H177)),H177+H138,"")</f>
        <v/>
      </c>
      <c r="I97" s="34" t="str">
        <f>+IF(NOT(ISBLANK(I177)),I177+I138,"")</f>
        <v/>
      </c>
      <c r="J97" s="34" t="str">
        <f>+IF(NOT(ISBLANK(J177)),J177+J138,"")</f>
        <v/>
      </c>
      <c r="K97" s="34" t="str">
        <f>+IF(NOT(ISBLANK(K177)),K177+K138,"")</f>
        <v/>
      </c>
      <c r="L97" s="34" t="str">
        <f>+IF(NOT(ISBLANK(L177)),L177+L138,"")</f>
        <v/>
      </c>
      <c r="M97" s="34" t="str">
        <f>+IF(NOT(ISBLANK(M177)),M177+M138,"")</f>
        <v/>
      </c>
      <c r="N97" s="34" t="str">
        <f>+IF(NOT(ISBLANK(N177)),N177+N138,"")</f>
        <v/>
      </c>
      <c r="O97" s="34" t="str">
        <f>+IF(NOT(ISBLANK(O177)),O177+O138,"")</f>
        <v/>
      </c>
      <c r="P97" s="34" t="str">
        <f>+IF(NOT(ISBLANK(P177)),P177+P138,"")</f>
        <v/>
      </c>
      <c r="Q97" s="34" t="str">
        <f>+IF(NOT(ISBLANK(Q177)),Q177+Q138,"")</f>
        <v/>
      </c>
      <c r="R97" s="34" t="str">
        <f>+IF(NOT(ISBLANK(R177)),R177+R138,"")</f>
        <v/>
      </c>
      <c r="S97" s="34" t="str">
        <f>+IF(NOT(ISBLANK(S177)),S177+S138,"")</f>
        <v/>
      </c>
      <c r="T97" s="34" t="str">
        <f>+IF(NOT(ISBLANK(T177)),T177+T138,"")</f>
        <v/>
      </c>
      <c r="U97" s="34" t="str">
        <f>+IF(NOT(ISBLANK(U177)),U177+U138,"")</f>
        <v/>
      </c>
      <c r="V97" s="34" t="str">
        <f>+IF(NOT(ISBLANK(V177)),V177+V138,"")</f>
        <v/>
      </c>
      <c r="W97" s="34" t="str">
        <f>+IF(NOT(ISBLANK(W177)),W177+W138,"")</f>
        <v/>
      </c>
      <c r="X97" s="34" t="str">
        <f>+IF(NOT(ISBLANK(X177)),X177+X138,"")</f>
        <v/>
      </c>
      <c r="Y97" s="34" t="str">
        <f>+IF(NOT(ISBLANK(Y177)),Y177+Y138,"")</f>
        <v/>
      </c>
      <c r="Z97" s="34" t="str">
        <f>+IF(NOT(ISBLANK(Z177)),Z177+Z138,"")</f>
        <v/>
      </c>
      <c r="AA97" s="34" t="str">
        <f>+IF(NOT(ISBLANK(AA177)),AA177+AA138,"")</f>
        <v/>
      </c>
      <c r="AB97" s="34" t="str">
        <f>+IF(NOT(ISBLANK(AB177)),AB177+AB138,"")</f>
        <v/>
      </c>
      <c r="AC97" s="34" t="str">
        <f>+IF(NOT(ISBLANK(AC177)),AC177+AC138,"")</f>
        <v/>
      </c>
      <c r="AD97" s="34" t="str">
        <f>+IF(NOT(ISBLANK(AD177)),AD177+AD138,"")</f>
        <v/>
      </c>
      <c r="AE97" s="34" t="str">
        <f>+IF(NOT(ISBLANK(AE177)),AE177+AE138,"")</f>
        <v/>
      </c>
      <c r="AF97" s="34" t="str">
        <f>+IF(NOT(ISBLANK(AF177)),AF177+AF138,"")</f>
        <v/>
      </c>
      <c r="AG97" s="34" t="str">
        <f>+IF(NOT(ISBLANK(AG177)),AG177+AG138,"")</f>
        <v/>
      </c>
      <c r="AH97" s="34" t="str">
        <f>+IF(NOT(ISBLANK(AH177)),AH177+AH138,"")</f>
        <v/>
      </c>
      <c r="AI97" s="34" t="str">
        <f>+IF(NOT(ISBLANK(AI177)),AI177+AI138,"")</f>
        <v/>
      </c>
      <c r="AJ97" s="34" t="str">
        <f>+IF(NOT(ISBLANK(AJ177)),AJ177+AJ138,"")</f>
        <v/>
      </c>
      <c r="AK97" s="34" t="str">
        <f>+IF(NOT(ISBLANK(AK177)),AK177+AK138,"")</f>
        <v/>
      </c>
      <c r="AL97" s="34" t="str">
        <f>+IF(NOT(ISBLANK(AL177)),AL177+AL138,"")</f>
        <v/>
      </c>
      <c r="AM97" s="34" t="str">
        <f>+IF(NOT(ISBLANK(AM177)),AM177+AM138,"")</f>
        <v/>
      </c>
      <c r="AN97" s="34" t="str">
        <f>+IF(NOT(ISBLANK(AN177)),AN177+AN138,"")</f>
        <v/>
      </c>
      <c r="AO97" s="34" t="str">
        <f>+IF(NOT(ISBLANK(AO177)),AO177+AO138,"")</f>
        <v/>
      </c>
      <c r="AP97" s="34" t="str">
        <f>+IF(NOT(ISBLANK(AP177)),AP177+AP138,"")</f>
        <v/>
      </c>
      <c r="AQ97" s="34" t="str">
        <f>+IF(NOT(ISBLANK(AQ177)),AQ177+AQ138,"")</f>
        <v/>
      </c>
      <c r="AR97" s="34" t="str">
        <f>+IF(NOT(ISBLANK(AR177)),AR177+AR138,"")</f>
        <v/>
      </c>
      <c r="AS97" s="34" t="str">
        <f>+IF(NOT(ISBLANK(AS177)),AS177+AS138,"")</f>
        <v/>
      </c>
      <c r="AT97" s="34" t="str">
        <f>+IF(NOT(ISBLANK(AT177)),AT177+AT138,"")</f>
        <v/>
      </c>
      <c r="AU97" s="34" t="str">
        <f>+IF(NOT(ISBLANK(AU177)),AU177+AU138,"")</f>
        <v/>
      </c>
      <c r="AV97" s="34" t="str">
        <f>+IF(NOT(ISBLANK(AV177)),AV177+AV138,"")</f>
        <v/>
      </c>
      <c r="AW97" s="34" t="str">
        <f>+IF(NOT(ISBLANK(AW177)),AW177+AW138,"")</f>
        <v/>
      </c>
      <c r="AX97" s="34" t="str">
        <f>+IF(NOT(ISBLANK(AX177)),AX177+AX138,"")</f>
        <v/>
      </c>
      <c r="AY97" s="34" t="str">
        <f>+IF(NOT(ISBLANK(AY177)),AY177+AY138,"")</f>
        <v/>
      </c>
      <c r="AZ97" s="34" t="str">
        <f>+IF(NOT(ISBLANK(AZ177)),AZ177+AZ138,"")</f>
        <v/>
      </c>
      <c r="BA97" s="34" t="str">
        <f>+IF(NOT(ISBLANK(BA177)),BA177+BA138,"")</f>
        <v/>
      </c>
      <c r="BB97" s="34" t="str">
        <f>+IF(NOT(ISBLANK(BB177)),BB177+BB138,"")</f>
        <v/>
      </c>
      <c r="BC97" s="34" t="str">
        <f>+IF(NOT(ISBLANK(BC177)),BC177+BC138,"")</f>
        <v/>
      </c>
      <c r="BD97" s="34" t="str">
        <f>+IF(NOT(ISBLANK(BD177)),BD177+BD138,"")</f>
        <v/>
      </c>
      <c r="BE97" s="34" t="str">
        <f>+IF(NOT(ISBLANK(BE177)),BE177+BE138,"")</f>
        <v/>
      </c>
      <c r="BF97" s="34" t="str">
        <f>+IF(NOT(ISBLANK(BF177)),BF177+BF138,"")</f>
        <v/>
      </c>
      <c r="BG97" s="34" t="str">
        <f>+IF(NOT(ISBLANK(BG177)),BG177+BG138,"")</f>
        <v/>
      </c>
      <c r="BH97" s="34" t="str">
        <f>+IF(NOT(ISBLANK(BH177)),BH177+BH138,"")</f>
        <v/>
      </c>
      <c r="BI97" s="34" t="str">
        <f>+IF(NOT(ISBLANK(BI177)),BI177+BI138,"")</f>
        <v/>
      </c>
      <c r="BJ97" s="34" t="str">
        <f>+IF(NOT(ISBLANK(BJ177)),BJ177+BJ138,"")</f>
        <v/>
      </c>
      <c r="BK97" s="34" t="str">
        <f>+IF(NOT(ISBLANK(BK177)),BK177+BK138,"")</f>
        <v/>
      </c>
      <c r="BL97" s="34" t="str">
        <f>+IF(NOT(ISBLANK(BL177)),BL177+BL138,"")</f>
        <v/>
      </c>
      <c r="BM97" s="34">
        <f>+IF(NOT(ISBLANK(BM177)),BM177+BM138,"")</f>
        <v>-20</v>
      </c>
      <c r="BN97" s="34" t="str">
        <f>+IF(NOT(ISBLANK(BN177)),BN177+BN138,"")</f>
        <v/>
      </c>
      <c r="BO97" s="34" t="str">
        <f>+IF(NOT(ISBLANK(BO177)),BO177+BO138,"")</f>
        <v/>
      </c>
      <c r="BP97" s="34" t="str">
        <f>+IF(NOT(ISBLANK(BP177)),BP177+BP138,"")</f>
        <v/>
      </c>
      <c r="BQ97" s="34" t="str">
        <f>+IF(NOT(ISBLANK(BQ177)),BQ177+BQ138,"")</f>
        <v/>
      </c>
      <c r="BR97" s="34" t="str">
        <f>+IF(NOT(ISBLANK(BR177)),BR177+BR138,"")</f>
        <v/>
      </c>
      <c r="BS97" s="34" t="str">
        <f>+IF(NOT(ISBLANK(BS177)),BS177+BS138,"")</f>
        <v/>
      </c>
      <c r="BT97" s="34" t="str">
        <f>+IF(NOT(ISBLANK(BT177)),BT177+BT138,"")</f>
        <v/>
      </c>
      <c r="BU97" s="34" t="str">
        <f>+IF(NOT(ISBLANK(BU177)),BU177+BU138,"")</f>
        <v/>
      </c>
      <c r="BV97" s="34" t="str">
        <f>+IF(NOT(ISBLANK(BV177)),BV177+BV138,"")</f>
        <v/>
      </c>
      <c r="BW97" s="34" t="str">
        <f>+IF(NOT(ISBLANK(BW177)),BW177+BW138,"")</f>
        <v/>
      </c>
      <c r="BX97" s="34" t="str">
        <f>+IF(NOT(ISBLANK(BX177)),BX177+BX138,"")</f>
        <v/>
      </c>
      <c r="BY97" s="34" t="str">
        <f>+IF(NOT(ISBLANK(BY177)),BY177+BY138,"")</f>
        <v/>
      </c>
      <c r="BZ97" s="34" t="str">
        <f>+IF(NOT(ISBLANK(BZ177)),BZ177+BZ138,"")</f>
        <v/>
      </c>
      <c r="CA97" s="34" t="str">
        <f>+IF(NOT(ISBLANK(CA177)),CA177+CA138,"")</f>
        <v/>
      </c>
      <c r="CB97" s="34" t="str">
        <f>+IF(NOT(ISBLANK(CB177)),CB177+CB138,"")</f>
        <v/>
      </c>
      <c r="CC97" s="34" t="str">
        <f>+IF(NOT(ISBLANK(CC177)),CC177+CC138,"")</f>
        <v/>
      </c>
      <c r="CD97" s="34" t="str">
        <f>+IF(NOT(ISBLANK(CD177)),CD177+CD138,"")</f>
        <v/>
      </c>
      <c r="CE97" s="34" t="str">
        <f>+IF(NOT(ISBLANK(CE177)),CE177+CE138,"")</f>
        <v/>
      </c>
      <c r="CF97" s="34" t="str">
        <f>+IF(NOT(ISBLANK(CF177)),CF177+CF138,"")</f>
        <v/>
      </c>
      <c r="CG97" s="34" t="str">
        <f>+IF(NOT(ISBLANK(CG177)),CG177+CG138,"")</f>
        <v/>
      </c>
      <c r="CH97" s="34" t="str">
        <f>+IF(NOT(ISBLANK(CH177)),CH177+CH138,"")</f>
        <v/>
      </c>
      <c r="CI97" s="34" t="str">
        <f>+IF(NOT(ISBLANK(CI177)),CI177+CI138,"")</f>
        <v/>
      </c>
      <c r="CJ97" s="34" t="str">
        <f>+IF(NOT(ISBLANK(CJ177)),CJ177+CJ138,"")</f>
        <v/>
      </c>
      <c r="CK97" s="34" t="str">
        <f>+IF(NOT(ISBLANK(CK177)),CK177+CK138,"")</f>
        <v/>
      </c>
      <c r="CL97" s="34" t="str">
        <f>+IF(NOT(ISBLANK(CL177)),CL177+CL138,"")</f>
        <v/>
      </c>
      <c r="CM97" s="34" t="str">
        <f>+IF(NOT(ISBLANK(CM177)),CM177+CM138,"")</f>
        <v/>
      </c>
      <c r="CN97" s="34" t="str">
        <f>+IF(NOT(ISBLANK(CN177)),CN177+CN138,"")</f>
        <v/>
      </c>
      <c r="CO97" s="35"/>
      <c r="CP97" s="36">
        <f>+IF(NOT(ISBLANK(CP177)),CP177+CP138,"")</f>
        <v>-20</v>
      </c>
      <c r="CQ97" s="34"/>
      <c r="CR97" s="37">
        <f>+CP138/-CP177-1</f>
        <v>-1</v>
      </c>
      <c r="CS97" s="38">
        <f>+COUNT(D97:CO97)</f>
        <v>1</v>
      </c>
      <c r="CT97" s="38">
        <f>+COUNTIF(D138:CO138,"&gt;0")</f>
        <v>0</v>
      </c>
      <c r="CU97" s="37">
        <f t="shared" ref="CU97" si="166">+CT97/CS97</f>
        <v>0</v>
      </c>
      <c r="CV97" s="37">
        <f>+SUMIF($D138:$CO138,"&gt;0",$D138:$CO138)/-SUMIF($D177:$CO177,"&lt;0",$D$186:$CO$186)</f>
        <v>0</v>
      </c>
      <c r="CW97" s="37">
        <f>+SUMIF($D177:$CO177,"&lt;0",$D177:$CO177)/SUMIF($D177:$CO177,"&lt;0",$D$186:$CO$186)</f>
        <v>0.14285714285714285</v>
      </c>
      <c r="CX97" s="39">
        <f t="shared" ref="CX97:CX98" si="167">+CP97/CS97</f>
        <v>-20</v>
      </c>
    </row>
    <row r="98" spans="2:102" ht="12.75" hidden="1" customHeight="1" outlineLevel="1" x14ac:dyDescent="0.2">
      <c r="B98" s="40"/>
      <c r="C98" s="40" t="str">
        <f>+C139</f>
        <v>Sami Hätälä</v>
      </c>
      <c r="D98" s="41" t="str">
        <f>+IF(NOT(ISBLANK(D178)),D178+D139,"")</f>
        <v/>
      </c>
      <c r="E98" s="41" t="str">
        <f>+IF(NOT(ISBLANK(E178)),E178+E139,"")</f>
        <v/>
      </c>
      <c r="F98" s="41" t="str">
        <f>+IF(NOT(ISBLANK(F178)),F178+F139,"")</f>
        <v/>
      </c>
      <c r="G98" s="41" t="str">
        <f>+IF(NOT(ISBLANK(G178)),G178+G139,"")</f>
        <v/>
      </c>
      <c r="H98" s="41" t="str">
        <f>+IF(NOT(ISBLANK(H178)),H178+H139,"")</f>
        <v/>
      </c>
      <c r="I98" s="41" t="str">
        <f>+IF(NOT(ISBLANK(I178)),I178+I139,"")</f>
        <v/>
      </c>
      <c r="J98" s="41" t="str">
        <f>+IF(NOT(ISBLANK(J178)),J178+J139,"")</f>
        <v/>
      </c>
      <c r="K98" s="41" t="str">
        <f>+IF(NOT(ISBLANK(K178)),K178+K139,"")</f>
        <v/>
      </c>
      <c r="L98" s="41" t="str">
        <f>+IF(NOT(ISBLANK(L178)),L178+L139,"")</f>
        <v/>
      </c>
      <c r="M98" s="41" t="str">
        <f>+IF(NOT(ISBLANK(M178)),M178+M139,"")</f>
        <v/>
      </c>
      <c r="N98" s="41" t="str">
        <f>+IF(NOT(ISBLANK(N178)),N178+N139,"")</f>
        <v/>
      </c>
      <c r="O98" s="41" t="str">
        <f>+IF(NOT(ISBLANK(O178)),O178+O139,"")</f>
        <v/>
      </c>
      <c r="P98" s="41" t="str">
        <f>+IF(NOT(ISBLANK(P178)),P178+P139,"")</f>
        <v/>
      </c>
      <c r="Q98" s="41" t="str">
        <f>+IF(NOT(ISBLANK(Q178)),Q178+Q139,"")</f>
        <v/>
      </c>
      <c r="R98" s="41" t="str">
        <f>+IF(NOT(ISBLANK(R178)),R178+R139,"")</f>
        <v/>
      </c>
      <c r="S98" s="41" t="str">
        <f>+IF(NOT(ISBLANK(S178)),S178+S139,"")</f>
        <v/>
      </c>
      <c r="T98" s="41" t="str">
        <f>+IF(NOT(ISBLANK(T178)),T178+T139,"")</f>
        <v/>
      </c>
      <c r="U98" s="41" t="str">
        <f>+IF(NOT(ISBLANK(U178)),U178+U139,"")</f>
        <v/>
      </c>
      <c r="V98" s="41" t="str">
        <f>+IF(NOT(ISBLANK(V178)),V178+V139,"")</f>
        <v/>
      </c>
      <c r="W98" s="41" t="str">
        <f>+IF(NOT(ISBLANK(W178)),W178+W139,"")</f>
        <v/>
      </c>
      <c r="X98" s="41" t="str">
        <f>+IF(NOT(ISBLANK(X178)),X178+X139,"")</f>
        <v/>
      </c>
      <c r="Y98" s="41" t="str">
        <f>+IF(NOT(ISBLANK(Y178)),Y178+Y139,"")</f>
        <v/>
      </c>
      <c r="Z98" s="41" t="str">
        <f>+IF(NOT(ISBLANK(Z178)),Z178+Z139,"")</f>
        <v/>
      </c>
      <c r="AA98" s="41" t="str">
        <f>+IF(NOT(ISBLANK(AA178)),AA178+AA139,"")</f>
        <v/>
      </c>
      <c r="AB98" s="41" t="str">
        <f>+IF(NOT(ISBLANK(AB178)),AB178+AB139,"")</f>
        <v/>
      </c>
      <c r="AC98" s="41" t="str">
        <f>+IF(NOT(ISBLANK(AC178)),AC178+AC139,"")</f>
        <v/>
      </c>
      <c r="AD98" s="41" t="str">
        <f>+IF(NOT(ISBLANK(AD178)),AD178+AD139,"")</f>
        <v/>
      </c>
      <c r="AE98" s="41" t="str">
        <f>+IF(NOT(ISBLANK(AE178)),AE178+AE139,"")</f>
        <v/>
      </c>
      <c r="AF98" s="41" t="str">
        <f>+IF(NOT(ISBLANK(AF178)),AF178+AF139,"")</f>
        <v/>
      </c>
      <c r="AG98" s="41" t="str">
        <f>+IF(NOT(ISBLANK(AG178)),AG178+AG139,"")</f>
        <v/>
      </c>
      <c r="AH98" s="41" t="str">
        <f>+IF(NOT(ISBLANK(AH178)),AH178+AH139,"")</f>
        <v/>
      </c>
      <c r="AI98" s="41" t="str">
        <f>+IF(NOT(ISBLANK(AI178)),AI178+AI139,"")</f>
        <v/>
      </c>
      <c r="AJ98" s="41" t="str">
        <f>+IF(NOT(ISBLANK(AJ178)),AJ178+AJ139,"")</f>
        <v/>
      </c>
      <c r="AK98" s="41" t="str">
        <f>+IF(NOT(ISBLANK(AK178)),AK178+AK139,"")</f>
        <v/>
      </c>
      <c r="AL98" s="41" t="str">
        <f>+IF(NOT(ISBLANK(AL178)),AL178+AL139,"")</f>
        <v/>
      </c>
      <c r="AM98" s="41" t="str">
        <f>+IF(NOT(ISBLANK(AM178)),AM178+AM139,"")</f>
        <v/>
      </c>
      <c r="AN98" s="41" t="str">
        <f>+IF(NOT(ISBLANK(AN178)),AN178+AN139,"")</f>
        <v/>
      </c>
      <c r="AO98" s="41" t="str">
        <f>+IF(NOT(ISBLANK(AO178)),AO178+AO139,"")</f>
        <v/>
      </c>
      <c r="AP98" s="41" t="str">
        <f>+IF(NOT(ISBLANK(AP178)),AP178+AP139,"")</f>
        <v/>
      </c>
      <c r="AQ98" s="41" t="str">
        <f>+IF(NOT(ISBLANK(AQ178)),AQ178+AQ139,"")</f>
        <v/>
      </c>
      <c r="AR98" s="41" t="str">
        <f>+IF(NOT(ISBLANK(AR178)),AR178+AR139,"")</f>
        <v/>
      </c>
      <c r="AS98" s="41" t="str">
        <f>+IF(NOT(ISBLANK(AS178)),AS178+AS139,"")</f>
        <v/>
      </c>
      <c r="AT98" s="41" t="str">
        <f>+IF(NOT(ISBLANK(AT178)),AT178+AT139,"")</f>
        <v/>
      </c>
      <c r="AU98" s="41" t="str">
        <f>+IF(NOT(ISBLANK(AU178)),AU178+AU139,"")</f>
        <v/>
      </c>
      <c r="AV98" s="41" t="str">
        <f>+IF(NOT(ISBLANK(AV178)),AV178+AV139,"")</f>
        <v/>
      </c>
      <c r="AW98" s="41" t="str">
        <f>+IF(NOT(ISBLANK(AW178)),AW178+AW139,"")</f>
        <v/>
      </c>
      <c r="AX98" s="41" t="str">
        <f>+IF(NOT(ISBLANK(AX178)),AX178+AX139,"")</f>
        <v/>
      </c>
      <c r="AY98" s="41" t="str">
        <f>+IF(NOT(ISBLANK(AY178)),AY178+AY139,"")</f>
        <v/>
      </c>
      <c r="AZ98" s="41" t="str">
        <f>+IF(NOT(ISBLANK(AZ178)),AZ178+AZ139,"")</f>
        <v/>
      </c>
      <c r="BA98" s="41" t="str">
        <f>+IF(NOT(ISBLANK(BA178)),BA178+BA139,"")</f>
        <v/>
      </c>
      <c r="BB98" s="41" t="str">
        <f>+IF(NOT(ISBLANK(BB178)),BB178+BB139,"")</f>
        <v/>
      </c>
      <c r="BC98" s="41" t="str">
        <f>+IF(NOT(ISBLANK(BC178)),BC178+BC139,"")</f>
        <v/>
      </c>
      <c r="BD98" s="41" t="str">
        <f>+IF(NOT(ISBLANK(BD178)),BD178+BD139,"")</f>
        <v/>
      </c>
      <c r="BE98" s="41" t="str">
        <f>+IF(NOT(ISBLANK(BE178)),BE178+BE139,"")</f>
        <v/>
      </c>
      <c r="BF98" s="41" t="str">
        <f>+IF(NOT(ISBLANK(BF178)),BF178+BF139,"")</f>
        <v/>
      </c>
      <c r="BG98" s="41" t="str">
        <f>+IF(NOT(ISBLANK(BG178)),BG178+BG139,"")</f>
        <v/>
      </c>
      <c r="BH98" s="41" t="str">
        <f>+IF(NOT(ISBLANK(BH178)),BH178+BH139,"")</f>
        <v/>
      </c>
      <c r="BI98" s="41" t="str">
        <f>+IF(NOT(ISBLANK(BI178)),BI178+BI139,"")</f>
        <v/>
      </c>
      <c r="BJ98" s="41" t="str">
        <f>+IF(NOT(ISBLANK(BJ178)),BJ178+BJ139,"")</f>
        <v/>
      </c>
      <c r="BK98" s="41" t="str">
        <f>+IF(NOT(ISBLANK(BK178)),BK178+BK139,"")</f>
        <v/>
      </c>
      <c r="BL98" s="41" t="str">
        <f>+IF(NOT(ISBLANK(BL178)),BL178+BL139,"")</f>
        <v/>
      </c>
      <c r="BM98" s="41" t="str">
        <f>+IF(NOT(ISBLANK(BM178)),BM178+BM139,"")</f>
        <v/>
      </c>
      <c r="BN98" s="41">
        <f>+IF(NOT(ISBLANK(BN178)),BN178+BN139,"")</f>
        <v>-20</v>
      </c>
      <c r="BO98" s="41" t="str">
        <f>+IF(NOT(ISBLANK(BO178)),BO178+BO139,"")</f>
        <v/>
      </c>
      <c r="BP98" s="41" t="str">
        <f>+IF(NOT(ISBLANK(BP178)),BP178+BP139,"")</f>
        <v/>
      </c>
      <c r="BQ98" s="41" t="str">
        <f>+IF(NOT(ISBLANK(BQ178)),BQ178+BQ139,"")</f>
        <v/>
      </c>
      <c r="BR98" s="41" t="str">
        <f>+IF(NOT(ISBLANK(BR178)),BR178+BR139,"")</f>
        <v/>
      </c>
      <c r="BS98" s="41" t="str">
        <f>+IF(NOT(ISBLANK(BS178)),BS178+BS139,"")</f>
        <v/>
      </c>
      <c r="BT98" s="41" t="str">
        <f>+IF(NOT(ISBLANK(BT178)),BT178+BT139,"")</f>
        <v/>
      </c>
      <c r="BU98" s="41" t="str">
        <f>+IF(NOT(ISBLANK(BU178)),BU178+BU139,"")</f>
        <v/>
      </c>
      <c r="BV98" s="41" t="str">
        <f>+IF(NOT(ISBLANK(BV178)),BV178+BV139,"")</f>
        <v/>
      </c>
      <c r="BW98" s="41" t="str">
        <f>+IF(NOT(ISBLANK(BW178)),BW178+BW139,"")</f>
        <v/>
      </c>
      <c r="BX98" s="41" t="str">
        <f>+IF(NOT(ISBLANK(BX178)),BX178+BX139,"")</f>
        <v/>
      </c>
      <c r="BY98" s="41" t="str">
        <f>+IF(NOT(ISBLANK(BY178)),BY178+BY139,"")</f>
        <v/>
      </c>
      <c r="BZ98" s="41" t="str">
        <f>+IF(NOT(ISBLANK(BZ178)),BZ178+BZ139,"")</f>
        <v/>
      </c>
      <c r="CA98" s="41" t="str">
        <f>+IF(NOT(ISBLANK(CA178)),CA178+CA139,"")</f>
        <v/>
      </c>
      <c r="CB98" s="41" t="str">
        <f>+IF(NOT(ISBLANK(CB178)),CB178+CB139,"")</f>
        <v/>
      </c>
      <c r="CC98" s="41" t="str">
        <f>+IF(NOT(ISBLANK(CC178)),CC178+CC139,"")</f>
        <v/>
      </c>
      <c r="CD98" s="41" t="str">
        <f>+IF(NOT(ISBLANK(CD178)),CD178+CD139,"")</f>
        <v/>
      </c>
      <c r="CE98" s="41" t="str">
        <f>+IF(NOT(ISBLANK(CE178)),CE178+CE139,"")</f>
        <v/>
      </c>
      <c r="CF98" s="41" t="str">
        <f>+IF(NOT(ISBLANK(CF178)),CF178+CF139,"")</f>
        <v/>
      </c>
      <c r="CG98" s="41" t="str">
        <f>+IF(NOT(ISBLANK(CG178)),CG178+CG139,"")</f>
        <v/>
      </c>
      <c r="CH98" s="41" t="str">
        <f>+IF(NOT(ISBLANK(CH178)),CH178+CH139,"")</f>
        <v/>
      </c>
      <c r="CI98" s="41" t="str">
        <f>+IF(NOT(ISBLANK(CI178)),CI178+CI139,"")</f>
        <v/>
      </c>
      <c r="CJ98" s="41" t="str">
        <f>+IF(NOT(ISBLANK(CJ178)),CJ178+CJ139,"")</f>
        <v/>
      </c>
      <c r="CK98" s="41" t="str">
        <f>+IF(NOT(ISBLANK(CK178)),CK178+CK139,"")</f>
        <v/>
      </c>
      <c r="CL98" s="41" t="str">
        <f>+IF(NOT(ISBLANK(CL178)),CL178+CL139,"")</f>
        <v/>
      </c>
      <c r="CM98" s="41" t="str">
        <f>+IF(NOT(ISBLANK(CM178)),CM178+CM139,"")</f>
        <v/>
      </c>
      <c r="CN98" s="41" t="str">
        <f>+IF(NOT(ISBLANK(CN178)),CN178+CN139,"")</f>
        <v/>
      </c>
      <c r="CO98" s="42"/>
      <c r="CP98" s="29">
        <f>+IF(NOT(ISBLANK(CP178)),CP178+CP139,"")</f>
        <v>-20</v>
      </c>
      <c r="CQ98" s="41"/>
      <c r="CR98" s="30">
        <f>+CP139/-CP178-1</f>
        <v>-1</v>
      </c>
      <c r="CS98" s="31">
        <f>+COUNT(D98:CO98)</f>
        <v>1</v>
      </c>
      <c r="CT98" s="31">
        <f>+COUNTIF(D139:CO139,"&gt;0")</f>
        <v>0</v>
      </c>
      <c r="CU98" s="30">
        <f>+CT98/CS98</f>
        <v>0</v>
      </c>
      <c r="CV98" s="30">
        <f>+SUMIF($D139:$CO139,"&gt;0",$D139:$CO139)/-SUMIF($D178:$CO178,"&lt;0",$D$186:$CO$186)</f>
        <v>0</v>
      </c>
      <c r="CW98" s="30">
        <f>+SUMIF($D178:$CO178,"&lt;0",$D178:$CO178)/SUMIF($D178:$CO178,"&lt;0",$D$186:$CO$186)</f>
        <v>0.2</v>
      </c>
      <c r="CX98" s="32">
        <f t="shared" si="167"/>
        <v>-20</v>
      </c>
    </row>
    <row r="99" spans="2:102" ht="12.75" hidden="1" customHeight="1" outlineLevel="1" x14ac:dyDescent="0.2">
      <c r="B99" s="33"/>
      <c r="C99" s="33" t="str">
        <f>+C140</f>
        <v>Artturi Jalli</v>
      </c>
      <c r="D99" s="34" t="str">
        <f>+IF(NOT(ISBLANK(D179)),D179+D140,"")</f>
        <v/>
      </c>
      <c r="E99" s="34" t="str">
        <f>+IF(NOT(ISBLANK(E179)),E179+E140,"")</f>
        <v/>
      </c>
      <c r="F99" s="34" t="str">
        <f>+IF(NOT(ISBLANK(F179)),F179+F140,"")</f>
        <v/>
      </c>
      <c r="G99" s="34" t="str">
        <f>+IF(NOT(ISBLANK(G179)),G179+G140,"")</f>
        <v/>
      </c>
      <c r="H99" s="34" t="str">
        <f>+IF(NOT(ISBLANK(H179)),H179+H140,"")</f>
        <v/>
      </c>
      <c r="I99" s="34" t="str">
        <f>+IF(NOT(ISBLANK(I179)),I179+I140,"")</f>
        <v/>
      </c>
      <c r="J99" s="34" t="str">
        <f>+IF(NOT(ISBLANK(J179)),J179+J140,"")</f>
        <v/>
      </c>
      <c r="K99" s="34" t="str">
        <f>+IF(NOT(ISBLANK(K179)),K179+K140,"")</f>
        <v/>
      </c>
      <c r="L99" s="34" t="str">
        <f>+IF(NOT(ISBLANK(L179)),L179+L140,"")</f>
        <v/>
      </c>
      <c r="M99" s="34" t="str">
        <f>+IF(NOT(ISBLANK(M179)),M179+M140,"")</f>
        <v/>
      </c>
      <c r="N99" s="34" t="str">
        <f>+IF(NOT(ISBLANK(N179)),N179+N140,"")</f>
        <v/>
      </c>
      <c r="O99" s="34" t="str">
        <f>+IF(NOT(ISBLANK(O179)),O179+O140,"")</f>
        <v/>
      </c>
      <c r="P99" s="34" t="str">
        <f>+IF(NOT(ISBLANK(P179)),P179+P140,"")</f>
        <v/>
      </c>
      <c r="Q99" s="34" t="str">
        <f>+IF(NOT(ISBLANK(Q179)),Q179+Q140,"")</f>
        <v/>
      </c>
      <c r="R99" s="34" t="str">
        <f>+IF(NOT(ISBLANK(R179)),R179+R140,"")</f>
        <v/>
      </c>
      <c r="S99" s="34" t="str">
        <f>+IF(NOT(ISBLANK(S179)),S179+S140,"")</f>
        <v/>
      </c>
      <c r="T99" s="34" t="str">
        <f>+IF(NOT(ISBLANK(T179)),T179+T140,"")</f>
        <v/>
      </c>
      <c r="U99" s="34" t="str">
        <f>+IF(NOT(ISBLANK(U179)),U179+U140,"")</f>
        <v/>
      </c>
      <c r="V99" s="34" t="str">
        <f>+IF(NOT(ISBLANK(V179)),V179+V140,"")</f>
        <v/>
      </c>
      <c r="W99" s="34" t="str">
        <f>+IF(NOT(ISBLANK(W179)),W179+W140,"")</f>
        <v/>
      </c>
      <c r="X99" s="34" t="str">
        <f>+IF(NOT(ISBLANK(X179)),X179+X140,"")</f>
        <v/>
      </c>
      <c r="Y99" s="34" t="str">
        <f>+IF(NOT(ISBLANK(Y179)),Y179+Y140,"")</f>
        <v/>
      </c>
      <c r="Z99" s="34" t="str">
        <f>+IF(NOT(ISBLANK(Z179)),Z179+Z140,"")</f>
        <v/>
      </c>
      <c r="AA99" s="34" t="str">
        <f>+IF(NOT(ISBLANK(AA179)),AA179+AA140,"")</f>
        <v/>
      </c>
      <c r="AB99" s="34" t="str">
        <f>+IF(NOT(ISBLANK(AB179)),AB179+AB140,"")</f>
        <v/>
      </c>
      <c r="AC99" s="34" t="str">
        <f>+IF(NOT(ISBLANK(AC179)),AC179+AC140,"")</f>
        <v/>
      </c>
      <c r="AD99" s="34" t="str">
        <f>+IF(NOT(ISBLANK(AD179)),AD179+AD140,"")</f>
        <v/>
      </c>
      <c r="AE99" s="34" t="str">
        <f>+IF(NOT(ISBLANK(AE179)),AE179+AE140,"")</f>
        <v/>
      </c>
      <c r="AF99" s="34" t="str">
        <f>+IF(NOT(ISBLANK(AF179)),AF179+AF140,"")</f>
        <v/>
      </c>
      <c r="AG99" s="34" t="str">
        <f>+IF(NOT(ISBLANK(AG179)),AG179+AG140,"")</f>
        <v/>
      </c>
      <c r="AH99" s="34" t="str">
        <f>+IF(NOT(ISBLANK(AH179)),AH179+AH140,"")</f>
        <v/>
      </c>
      <c r="AI99" s="34" t="str">
        <f>+IF(NOT(ISBLANK(AI179)),AI179+AI140,"")</f>
        <v/>
      </c>
      <c r="AJ99" s="34" t="str">
        <f>+IF(NOT(ISBLANK(AJ179)),AJ179+AJ140,"")</f>
        <v/>
      </c>
      <c r="AK99" s="34" t="str">
        <f>+IF(NOT(ISBLANK(AK179)),AK179+AK140,"")</f>
        <v/>
      </c>
      <c r="AL99" s="34" t="str">
        <f>+IF(NOT(ISBLANK(AL179)),AL179+AL140,"")</f>
        <v/>
      </c>
      <c r="AM99" s="34" t="str">
        <f>+IF(NOT(ISBLANK(AM179)),AM179+AM140,"")</f>
        <v/>
      </c>
      <c r="AN99" s="34" t="str">
        <f>+IF(NOT(ISBLANK(AN179)),AN179+AN140,"")</f>
        <v/>
      </c>
      <c r="AO99" s="34" t="str">
        <f>+IF(NOT(ISBLANK(AO179)),AO179+AO140,"")</f>
        <v/>
      </c>
      <c r="AP99" s="34" t="str">
        <f>+IF(NOT(ISBLANK(AP179)),AP179+AP140,"")</f>
        <v/>
      </c>
      <c r="AQ99" s="34" t="str">
        <f>+IF(NOT(ISBLANK(AQ179)),AQ179+AQ140,"")</f>
        <v/>
      </c>
      <c r="AR99" s="34" t="str">
        <f>+IF(NOT(ISBLANK(AR179)),AR179+AR140,"")</f>
        <v/>
      </c>
      <c r="AS99" s="34" t="str">
        <f>+IF(NOT(ISBLANK(AS179)),AS179+AS140,"")</f>
        <v/>
      </c>
      <c r="AT99" s="34" t="str">
        <f>+IF(NOT(ISBLANK(AT179)),AT179+AT140,"")</f>
        <v/>
      </c>
      <c r="AU99" s="34" t="str">
        <f>+IF(NOT(ISBLANK(AU179)),AU179+AU140,"")</f>
        <v/>
      </c>
      <c r="AV99" s="34" t="str">
        <f>+IF(NOT(ISBLANK(AV179)),AV179+AV140,"")</f>
        <v/>
      </c>
      <c r="AW99" s="34" t="str">
        <f>+IF(NOT(ISBLANK(AW179)),AW179+AW140,"")</f>
        <v/>
      </c>
      <c r="AX99" s="34" t="str">
        <f>+IF(NOT(ISBLANK(AX179)),AX179+AX140,"")</f>
        <v/>
      </c>
      <c r="AY99" s="34" t="str">
        <f>+IF(NOT(ISBLANK(AY179)),AY179+AY140,"")</f>
        <v/>
      </c>
      <c r="AZ99" s="34" t="str">
        <f>+IF(NOT(ISBLANK(AZ179)),AZ179+AZ140,"")</f>
        <v/>
      </c>
      <c r="BA99" s="34" t="str">
        <f>+IF(NOT(ISBLANK(BA179)),BA179+BA140,"")</f>
        <v/>
      </c>
      <c r="BB99" s="34" t="str">
        <f>+IF(NOT(ISBLANK(BB179)),BB179+BB140,"")</f>
        <v/>
      </c>
      <c r="BC99" s="34" t="str">
        <f>+IF(NOT(ISBLANK(BC179)),BC179+BC140,"")</f>
        <v/>
      </c>
      <c r="BD99" s="34" t="str">
        <f>+IF(NOT(ISBLANK(BD179)),BD179+BD140,"")</f>
        <v/>
      </c>
      <c r="BE99" s="34" t="str">
        <f>+IF(NOT(ISBLANK(BE179)),BE179+BE140,"")</f>
        <v/>
      </c>
      <c r="BF99" s="34" t="str">
        <f>+IF(NOT(ISBLANK(BF179)),BF179+BF140,"")</f>
        <v/>
      </c>
      <c r="BG99" s="34" t="str">
        <f>+IF(NOT(ISBLANK(BG179)),BG179+BG140,"")</f>
        <v/>
      </c>
      <c r="BH99" s="34" t="str">
        <f>+IF(NOT(ISBLANK(BH179)),BH179+BH140,"")</f>
        <v/>
      </c>
      <c r="BI99" s="34" t="str">
        <f>+IF(NOT(ISBLANK(BI179)),BI179+BI140,"")</f>
        <v/>
      </c>
      <c r="BJ99" s="34" t="str">
        <f>+IF(NOT(ISBLANK(BJ179)),BJ179+BJ140,"")</f>
        <v/>
      </c>
      <c r="BK99" s="34" t="str">
        <f>+IF(NOT(ISBLANK(BK179)),BK179+BK140,"")</f>
        <v/>
      </c>
      <c r="BL99" s="34" t="str">
        <f>+IF(NOT(ISBLANK(BL179)),BL179+BL140,"")</f>
        <v/>
      </c>
      <c r="BM99" s="34" t="str">
        <f>+IF(NOT(ISBLANK(BM179)),BM179+BM140,"")</f>
        <v/>
      </c>
      <c r="BN99" s="34" t="str">
        <f>+IF(NOT(ISBLANK(BN179)),BN179+BN140,"")</f>
        <v/>
      </c>
      <c r="BO99" s="34" t="str">
        <f>+IF(NOT(ISBLANK(BO179)),BO179+BO140,"")</f>
        <v/>
      </c>
      <c r="BP99" s="34">
        <f>+IF(NOT(ISBLANK(BP179)),BP179+BP140,"")</f>
        <v>-20</v>
      </c>
      <c r="BQ99" s="34">
        <f>+IF(NOT(ISBLANK(BQ179)),BQ179+BQ140,"")</f>
        <v>-20</v>
      </c>
      <c r="BR99" s="34">
        <f>+IF(NOT(ISBLANK(BR179)),BR179+BR140,"")</f>
        <v>-40</v>
      </c>
      <c r="BS99" s="34" t="str">
        <f>+IF(NOT(ISBLANK(BS179)),BS179+BS140,"")</f>
        <v/>
      </c>
      <c r="BT99" s="34" t="str">
        <f>+IF(NOT(ISBLANK(BT179)),BT179+BT140,"")</f>
        <v/>
      </c>
      <c r="BU99" s="34" t="str">
        <f>+IF(NOT(ISBLANK(BU179)),BU179+BU140,"")</f>
        <v/>
      </c>
      <c r="BV99" s="34">
        <f>+IF(NOT(ISBLANK(BV179)),BV179+BV140,"")</f>
        <v>-40</v>
      </c>
      <c r="BW99" s="34" t="str">
        <f>+IF(NOT(ISBLANK(BW179)),BW179+BW140,"")</f>
        <v/>
      </c>
      <c r="BX99" s="34" t="str">
        <f>+IF(NOT(ISBLANK(BX179)),BX179+BX140,"")</f>
        <v/>
      </c>
      <c r="BY99" s="34" t="str">
        <f>+IF(NOT(ISBLANK(BY179)),BY179+BY140,"")</f>
        <v/>
      </c>
      <c r="BZ99" s="34" t="str">
        <f>+IF(NOT(ISBLANK(BZ179)),BZ179+BZ140,"")</f>
        <v/>
      </c>
      <c r="CA99" s="34">
        <f>+IF(NOT(ISBLANK(CA179)),CA179+CA140,"")</f>
        <v>-20</v>
      </c>
      <c r="CB99" s="34" t="str">
        <f>+IF(NOT(ISBLANK(CB179)),CB179+CB140,"")</f>
        <v/>
      </c>
      <c r="CC99" s="34">
        <f>+IF(NOT(ISBLANK(CC179)),CC179+CC140,"")</f>
        <v>-20</v>
      </c>
      <c r="CD99" s="34" t="str">
        <f>+IF(NOT(ISBLANK(CD179)),CD179+CD140,"")</f>
        <v/>
      </c>
      <c r="CE99" s="34">
        <f>+IF(NOT(ISBLANK(CE179)),CE179+CE140,"")</f>
        <v>156</v>
      </c>
      <c r="CF99" s="34">
        <f>+IF(NOT(ISBLANK(CF179)),CF179+CF140,"")</f>
        <v>-50</v>
      </c>
      <c r="CG99" s="34" t="str">
        <f>+IF(NOT(ISBLANK(CG179)),CG179+CG140,"")</f>
        <v/>
      </c>
      <c r="CH99" s="34" t="str">
        <f>+IF(NOT(ISBLANK(CH179)),CH179+CH140,"")</f>
        <v/>
      </c>
      <c r="CI99" s="34" t="str">
        <f>+IF(NOT(ISBLANK(CI179)),CI179+CI140,"")</f>
        <v/>
      </c>
      <c r="CJ99" s="34" t="str">
        <f>+IF(NOT(ISBLANK(CJ179)),CJ179+CJ140,"")</f>
        <v/>
      </c>
      <c r="CK99" s="34">
        <f>+IF(NOT(ISBLANK(CK179)),CK179+CK140,"")</f>
        <v>-25</v>
      </c>
      <c r="CL99" s="34" t="str">
        <f>+IF(NOT(ISBLANK(CL179)),CL179+CL140,"")</f>
        <v/>
      </c>
      <c r="CM99" s="34" t="str">
        <f>+IF(NOT(ISBLANK(CM179)),CM179+CM140,"")</f>
        <v/>
      </c>
      <c r="CN99" s="34" t="str">
        <f>+IF(NOT(ISBLANK(CN179)),CN179+CN140,"")</f>
        <v/>
      </c>
      <c r="CO99" s="35"/>
      <c r="CP99" s="36">
        <f>+IF(NOT(ISBLANK(CP179)),CP179+CP140,"")</f>
        <v>-79</v>
      </c>
      <c r="CQ99" s="34"/>
      <c r="CR99" s="37">
        <f>+CP140/-CP179-1</f>
        <v>-0.30980392156862746</v>
      </c>
      <c r="CS99" s="38">
        <f>+COUNT(D99:CO99)</f>
        <v>9</v>
      </c>
      <c r="CT99" s="38">
        <f>+COUNTIF(D140:CO140,"&gt;0")</f>
        <v>1</v>
      </c>
      <c r="CU99" s="37">
        <f t="shared" ref="CU99" si="168">+CT99/CS99</f>
        <v>0.1111111111111111</v>
      </c>
      <c r="CV99" s="37">
        <f>+SUMIF($D140:$CO140,"&gt;0",$D140:$CO140)/-SUMIF($D179:$CO179,"&lt;0",$D$186:$CO$186)</f>
        <v>8.3412322274881517E-2</v>
      </c>
      <c r="CW99" s="37">
        <f>+SUMIF($D179:$CO179,"&lt;0",$D179:$CO179)/SUMIF($D179:$CO179,"&lt;0",$D$186:$CO$186)</f>
        <v>0.12085308056872038</v>
      </c>
      <c r="CX99" s="39">
        <f t="shared" ref="CX99:CX100" si="169">+CP99/CS99</f>
        <v>-8.7777777777777786</v>
      </c>
    </row>
    <row r="100" spans="2:102" ht="12.75" hidden="1" customHeight="1" outlineLevel="1" x14ac:dyDescent="0.2">
      <c r="B100" s="40"/>
      <c r="C100" s="40" t="str">
        <f>+C141</f>
        <v>Aapo Kinnari</v>
      </c>
      <c r="D100" s="41" t="str">
        <f>+IF(NOT(ISBLANK(D180)),D180+D141,"")</f>
        <v/>
      </c>
      <c r="E100" s="41" t="str">
        <f>+IF(NOT(ISBLANK(E180)),E180+E141,"")</f>
        <v/>
      </c>
      <c r="F100" s="41" t="str">
        <f>+IF(NOT(ISBLANK(F180)),F180+F141,"")</f>
        <v/>
      </c>
      <c r="G100" s="41" t="str">
        <f>+IF(NOT(ISBLANK(G180)),G180+G141,"")</f>
        <v/>
      </c>
      <c r="H100" s="41" t="str">
        <f>+IF(NOT(ISBLANK(H180)),H180+H141,"")</f>
        <v/>
      </c>
      <c r="I100" s="41" t="str">
        <f>+IF(NOT(ISBLANK(I180)),I180+I141,"")</f>
        <v/>
      </c>
      <c r="J100" s="41" t="str">
        <f>+IF(NOT(ISBLANK(J180)),J180+J141,"")</f>
        <v/>
      </c>
      <c r="K100" s="41" t="str">
        <f>+IF(NOT(ISBLANK(K180)),K180+K141,"")</f>
        <v/>
      </c>
      <c r="L100" s="41" t="str">
        <f>+IF(NOT(ISBLANK(L180)),L180+L141,"")</f>
        <v/>
      </c>
      <c r="M100" s="41" t="str">
        <f>+IF(NOT(ISBLANK(M180)),M180+M141,"")</f>
        <v/>
      </c>
      <c r="N100" s="41" t="str">
        <f>+IF(NOT(ISBLANK(N180)),N180+N141,"")</f>
        <v/>
      </c>
      <c r="O100" s="41" t="str">
        <f>+IF(NOT(ISBLANK(O180)),O180+O141,"")</f>
        <v/>
      </c>
      <c r="P100" s="41" t="str">
        <f>+IF(NOT(ISBLANK(P180)),P180+P141,"")</f>
        <v/>
      </c>
      <c r="Q100" s="41" t="str">
        <f>+IF(NOT(ISBLANK(Q180)),Q180+Q141,"")</f>
        <v/>
      </c>
      <c r="R100" s="41" t="str">
        <f>+IF(NOT(ISBLANK(R180)),R180+R141,"")</f>
        <v/>
      </c>
      <c r="S100" s="41" t="str">
        <f>+IF(NOT(ISBLANK(S180)),S180+S141,"")</f>
        <v/>
      </c>
      <c r="T100" s="41" t="str">
        <f>+IF(NOT(ISBLANK(T180)),T180+T141,"")</f>
        <v/>
      </c>
      <c r="U100" s="41" t="str">
        <f>+IF(NOT(ISBLANK(U180)),U180+U141,"")</f>
        <v/>
      </c>
      <c r="V100" s="41" t="str">
        <f>+IF(NOT(ISBLANK(V180)),V180+V141,"")</f>
        <v/>
      </c>
      <c r="W100" s="41" t="str">
        <f>+IF(NOT(ISBLANK(W180)),W180+W141,"")</f>
        <v/>
      </c>
      <c r="X100" s="41" t="str">
        <f>+IF(NOT(ISBLANK(X180)),X180+X141,"")</f>
        <v/>
      </c>
      <c r="Y100" s="41" t="str">
        <f>+IF(NOT(ISBLANK(Y180)),Y180+Y141,"")</f>
        <v/>
      </c>
      <c r="Z100" s="41" t="str">
        <f>+IF(NOT(ISBLANK(Z180)),Z180+Z141,"")</f>
        <v/>
      </c>
      <c r="AA100" s="41" t="str">
        <f>+IF(NOT(ISBLANK(AA180)),AA180+AA141,"")</f>
        <v/>
      </c>
      <c r="AB100" s="41" t="str">
        <f>+IF(NOT(ISBLANK(AB180)),AB180+AB141,"")</f>
        <v/>
      </c>
      <c r="AC100" s="41" t="str">
        <f>+IF(NOT(ISBLANK(AC180)),AC180+AC141,"")</f>
        <v/>
      </c>
      <c r="AD100" s="41" t="str">
        <f>+IF(NOT(ISBLANK(AD180)),AD180+AD141,"")</f>
        <v/>
      </c>
      <c r="AE100" s="41" t="str">
        <f>+IF(NOT(ISBLANK(AE180)),AE180+AE141,"")</f>
        <v/>
      </c>
      <c r="AF100" s="41" t="str">
        <f>+IF(NOT(ISBLANK(AF180)),AF180+AF141,"")</f>
        <v/>
      </c>
      <c r="AG100" s="41" t="str">
        <f>+IF(NOT(ISBLANK(AG180)),AG180+AG141,"")</f>
        <v/>
      </c>
      <c r="AH100" s="41" t="str">
        <f>+IF(NOT(ISBLANK(AH180)),AH180+AH141,"")</f>
        <v/>
      </c>
      <c r="AI100" s="41" t="str">
        <f>+IF(NOT(ISBLANK(AI180)),AI180+AI141,"")</f>
        <v/>
      </c>
      <c r="AJ100" s="41" t="str">
        <f>+IF(NOT(ISBLANK(AJ180)),AJ180+AJ141,"")</f>
        <v/>
      </c>
      <c r="AK100" s="41" t="str">
        <f>+IF(NOT(ISBLANK(AK180)),AK180+AK141,"")</f>
        <v/>
      </c>
      <c r="AL100" s="41" t="str">
        <f>+IF(NOT(ISBLANK(AL180)),AL180+AL141,"")</f>
        <v/>
      </c>
      <c r="AM100" s="41" t="str">
        <f>+IF(NOT(ISBLANK(AM180)),AM180+AM141,"")</f>
        <v/>
      </c>
      <c r="AN100" s="41" t="str">
        <f>+IF(NOT(ISBLANK(AN180)),AN180+AN141,"")</f>
        <v/>
      </c>
      <c r="AO100" s="41" t="str">
        <f>+IF(NOT(ISBLANK(AO180)),AO180+AO141,"")</f>
        <v/>
      </c>
      <c r="AP100" s="41" t="str">
        <f>+IF(NOT(ISBLANK(AP180)),AP180+AP141,"")</f>
        <v/>
      </c>
      <c r="AQ100" s="41" t="str">
        <f>+IF(NOT(ISBLANK(AQ180)),AQ180+AQ141,"")</f>
        <v/>
      </c>
      <c r="AR100" s="41" t="str">
        <f>+IF(NOT(ISBLANK(AR180)),AR180+AR141,"")</f>
        <v/>
      </c>
      <c r="AS100" s="41" t="str">
        <f>+IF(NOT(ISBLANK(AS180)),AS180+AS141,"")</f>
        <v/>
      </c>
      <c r="AT100" s="41" t="str">
        <f>+IF(NOT(ISBLANK(AT180)),AT180+AT141,"")</f>
        <v/>
      </c>
      <c r="AU100" s="41" t="str">
        <f>+IF(NOT(ISBLANK(AU180)),AU180+AU141,"")</f>
        <v/>
      </c>
      <c r="AV100" s="41" t="str">
        <f>+IF(NOT(ISBLANK(AV180)),AV180+AV141,"")</f>
        <v/>
      </c>
      <c r="AW100" s="41" t="str">
        <f>+IF(NOT(ISBLANK(AW180)),AW180+AW141,"")</f>
        <v/>
      </c>
      <c r="AX100" s="41" t="str">
        <f>+IF(NOT(ISBLANK(AX180)),AX180+AX141,"")</f>
        <v/>
      </c>
      <c r="AY100" s="41" t="str">
        <f>+IF(NOT(ISBLANK(AY180)),AY180+AY141,"")</f>
        <v/>
      </c>
      <c r="AZ100" s="41" t="str">
        <f>+IF(NOT(ISBLANK(AZ180)),AZ180+AZ141,"")</f>
        <v/>
      </c>
      <c r="BA100" s="41" t="str">
        <f>+IF(NOT(ISBLANK(BA180)),BA180+BA141,"")</f>
        <v/>
      </c>
      <c r="BB100" s="41" t="str">
        <f>+IF(NOT(ISBLANK(BB180)),BB180+BB141,"")</f>
        <v/>
      </c>
      <c r="BC100" s="41" t="str">
        <f>+IF(NOT(ISBLANK(BC180)),BC180+BC141,"")</f>
        <v/>
      </c>
      <c r="BD100" s="41" t="str">
        <f>+IF(NOT(ISBLANK(BD180)),BD180+BD141,"")</f>
        <v/>
      </c>
      <c r="BE100" s="41" t="str">
        <f>+IF(NOT(ISBLANK(BE180)),BE180+BE141,"")</f>
        <v/>
      </c>
      <c r="BF100" s="41" t="str">
        <f>+IF(NOT(ISBLANK(BF180)),BF180+BF141,"")</f>
        <v/>
      </c>
      <c r="BG100" s="41" t="str">
        <f>+IF(NOT(ISBLANK(BG180)),BG180+BG141,"")</f>
        <v/>
      </c>
      <c r="BH100" s="41" t="str">
        <f>+IF(NOT(ISBLANK(BH180)),BH180+BH141,"")</f>
        <v/>
      </c>
      <c r="BI100" s="41" t="str">
        <f>+IF(NOT(ISBLANK(BI180)),BI180+BI141,"")</f>
        <v/>
      </c>
      <c r="BJ100" s="41" t="str">
        <f>+IF(NOT(ISBLANK(BJ180)),BJ180+BJ141,"")</f>
        <v/>
      </c>
      <c r="BK100" s="41" t="str">
        <f>+IF(NOT(ISBLANK(BK180)),BK180+BK141,"")</f>
        <v/>
      </c>
      <c r="BL100" s="41" t="str">
        <f>+IF(NOT(ISBLANK(BL180)),BL180+BL141,"")</f>
        <v/>
      </c>
      <c r="BM100" s="41" t="str">
        <f>+IF(NOT(ISBLANK(BM180)),BM180+BM141,"")</f>
        <v/>
      </c>
      <c r="BN100" s="41" t="str">
        <f>+IF(NOT(ISBLANK(BN180)),BN180+BN141,"")</f>
        <v/>
      </c>
      <c r="BO100" s="41" t="str">
        <f>+IF(NOT(ISBLANK(BO180)),BO180+BO141,"")</f>
        <v/>
      </c>
      <c r="BP100" s="41" t="str">
        <f>+IF(NOT(ISBLANK(BP180)),BP180+BP141,"")</f>
        <v/>
      </c>
      <c r="BQ100" s="41" t="str">
        <f>+IF(NOT(ISBLANK(BQ180)),BQ180+BQ141,"")</f>
        <v/>
      </c>
      <c r="BR100" s="41" t="str">
        <f>+IF(NOT(ISBLANK(BR180)),BR180+BR141,"")</f>
        <v/>
      </c>
      <c r="BS100" s="41" t="str">
        <f>+IF(NOT(ISBLANK(BS180)),BS180+BS141,"")</f>
        <v/>
      </c>
      <c r="BT100" s="41" t="str">
        <f>+IF(NOT(ISBLANK(BT180)),BT180+BT141,"")</f>
        <v/>
      </c>
      <c r="BU100" s="41" t="str">
        <f>+IF(NOT(ISBLANK(BU180)),BU180+BU141,"")</f>
        <v/>
      </c>
      <c r="BV100" s="41" t="str">
        <f>+IF(NOT(ISBLANK(BV180)),BV180+BV141,"")</f>
        <v/>
      </c>
      <c r="BW100" s="41" t="str">
        <f>+IF(NOT(ISBLANK(BW180)),BW180+BW141,"")</f>
        <v/>
      </c>
      <c r="BX100" s="41">
        <f>+IF(NOT(ISBLANK(BX180)),BX180+BX141,"")</f>
        <v>-30</v>
      </c>
      <c r="BY100" s="41">
        <f>+IF(NOT(ISBLANK(BY180)),BY180+BY141,"")</f>
        <v>-25</v>
      </c>
      <c r="BZ100" s="41" t="str">
        <f>+IF(NOT(ISBLANK(BZ180)),BZ180+BZ141,"")</f>
        <v/>
      </c>
      <c r="CA100" s="41">
        <f>+IF(NOT(ISBLANK(CA180)),CA180+CA141,"")</f>
        <v>25</v>
      </c>
      <c r="CB100" s="41">
        <f>+IF(NOT(ISBLANK(CB180)),CB180+CB141,"")</f>
        <v>-20</v>
      </c>
      <c r="CC100" s="41" t="str">
        <f>+IF(NOT(ISBLANK(CC180)),CC180+CC141,"")</f>
        <v/>
      </c>
      <c r="CD100" s="41">
        <f>+IF(NOT(ISBLANK(CD180)),CD180+CD141,"")</f>
        <v>-60</v>
      </c>
      <c r="CE100" s="41" t="str">
        <f>+IF(NOT(ISBLANK(CE180)),CE180+CE141,"")</f>
        <v/>
      </c>
      <c r="CF100" s="41" t="str">
        <f>+IF(NOT(ISBLANK(CF180)),CF180+CF141,"")</f>
        <v/>
      </c>
      <c r="CG100" s="41">
        <f>+IF(NOT(ISBLANK(CG180)),CG180+CG141,"")</f>
        <v>-90</v>
      </c>
      <c r="CH100" s="41" t="str">
        <f>+IF(NOT(ISBLANK(CH180)),CH180+CH141,"")</f>
        <v/>
      </c>
      <c r="CI100" s="41" t="str">
        <f>+IF(NOT(ISBLANK(CI180)),CI180+CI141,"")</f>
        <v/>
      </c>
      <c r="CJ100" s="41" t="str">
        <f>+IF(NOT(ISBLANK(CJ180)),CJ180+CJ141,"")</f>
        <v/>
      </c>
      <c r="CK100" s="41" t="str">
        <f>+IF(NOT(ISBLANK(CK180)),CK180+CK141,"")</f>
        <v/>
      </c>
      <c r="CL100" s="41" t="str">
        <f>+IF(NOT(ISBLANK(CL180)),CL180+CL141,"")</f>
        <v/>
      </c>
      <c r="CM100" s="41" t="str">
        <f>+IF(NOT(ISBLANK(CM180)),CM180+CM141,"")</f>
        <v/>
      </c>
      <c r="CN100" s="41">
        <f>+IF(NOT(ISBLANK(CN180)),CN180+CN141,"")</f>
        <v>-60</v>
      </c>
      <c r="CO100" s="42"/>
      <c r="CP100" s="29">
        <f>+IF(NOT(ISBLANK(CP180)),CP180+CP141,"")</f>
        <v>-260</v>
      </c>
      <c r="CQ100" s="41"/>
      <c r="CR100" s="30">
        <f>+CP141/-CP180-1</f>
        <v>-0.85245901639344268</v>
      </c>
      <c r="CS100" s="31">
        <f>+COUNT(D100:CO100)</f>
        <v>7</v>
      </c>
      <c r="CT100" s="31">
        <f>+COUNTIF(D141:CO141,"&gt;0")</f>
        <v>1</v>
      </c>
      <c r="CU100" s="30">
        <f>+CT100/CS100</f>
        <v>0.14285714285714285</v>
      </c>
      <c r="CV100" s="30">
        <f>+SUMIF($D141:$CO141,"&gt;0",$D141:$CO141)/-SUMIF($D180:$CO180,"&lt;0",$D$186:$CO$186)</f>
        <v>2.5210084033613446E-2</v>
      </c>
      <c r="CW100" s="30">
        <f>+SUMIF($D180:$CO180,"&lt;0",$D180:$CO180)/SUMIF($D180:$CO180,"&lt;0",$D$186:$CO$186)</f>
        <v>0.17086834733893558</v>
      </c>
      <c r="CX100" s="32">
        <f t="shared" si="169"/>
        <v>-37.142857142857146</v>
      </c>
    </row>
    <row r="101" spans="2:102" ht="12.75" hidden="1" customHeight="1" outlineLevel="1" x14ac:dyDescent="0.2">
      <c r="B101" s="33"/>
      <c r="C101" s="33" t="str">
        <f>+C142</f>
        <v>Erik Kymäläinen</v>
      </c>
      <c r="D101" s="34" t="str">
        <f>+IF(NOT(ISBLANK(D181)),D181+D142,"")</f>
        <v/>
      </c>
      <c r="E101" s="34" t="str">
        <f>+IF(NOT(ISBLANK(E181)),E181+E142,"")</f>
        <v/>
      </c>
      <c r="F101" s="34" t="str">
        <f>+IF(NOT(ISBLANK(F181)),F181+F142,"")</f>
        <v/>
      </c>
      <c r="G101" s="34" t="str">
        <f>+IF(NOT(ISBLANK(G181)),G181+G142,"")</f>
        <v/>
      </c>
      <c r="H101" s="34" t="str">
        <f>+IF(NOT(ISBLANK(H181)),H181+H142,"")</f>
        <v/>
      </c>
      <c r="I101" s="34" t="str">
        <f>+IF(NOT(ISBLANK(I181)),I181+I142,"")</f>
        <v/>
      </c>
      <c r="J101" s="34" t="str">
        <f>+IF(NOT(ISBLANK(J181)),J181+J142,"")</f>
        <v/>
      </c>
      <c r="K101" s="34" t="str">
        <f>+IF(NOT(ISBLANK(K181)),K181+K142,"")</f>
        <v/>
      </c>
      <c r="L101" s="34" t="str">
        <f>+IF(NOT(ISBLANK(L181)),L181+L142,"")</f>
        <v/>
      </c>
      <c r="M101" s="34" t="str">
        <f>+IF(NOT(ISBLANK(M181)),M181+M142,"")</f>
        <v/>
      </c>
      <c r="N101" s="34" t="str">
        <f>+IF(NOT(ISBLANK(N181)),N181+N142,"")</f>
        <v/>
      </c>
      <c r="O101" s="34" t="str">
        <f>+IF(NOT(ISBLANK(O181)),O181+O142,"")</f>
        <v/>
      </c>
      <c r="P101" s="34" t="str">
        <f>+IF(NOT(ISBLANK(P181)),P181+P142,"")</f>
        <v/>
      </c>
      <c r="Q101" s="34" t="str">
        <f>+IF(NOT(ISBLANK(Q181)),Q181+Q142,"")</f>
        <v/>
      </c>
      <c r="R101" s="34" t="str">
        <f>+IF(NOT(ISBLANK(R181)),R181+R142,"")</f>
        <v/>
      </c>
      <c r="S101" s="34" t="str">
        <f>+IF(NOT(ISBLANK(S181)),S181+S142,"")</f>
        <v/>
      </c>
      <c r="T101" s="34" t="str">
        <f>+IF(NOT(ISBLANK(T181)),T181+T142,"")</f>
        <v/>
      </c>
      <c r="U101" s="34" t="str">
        <f>+IF(NOT(ISBLANK(U181)),U181+U142,"")</f>
        <v/>
      </c>
      <c r="V101" s="34" t="str">
        <f>+IF(NOT(ISBLANK(V181)),V181+V142,"")</f>
        <v/>
      </c>
      <c r="W101" s="34" t="str">
        <f>+IF(NOT(ISBLANK(W181)),W181+W142,"")</f>
        <v/>
      </c>
      <c r="X101" s="34" t="str">
        <f>+IF(NOT(ISBLANK(X181)),X181+X142,"")</f>
        <v/>
      </c>
      <c r="Y101" s="34" t="str">
        <f>+IF(NOT(ISBLANK(Y181)),Y181+Y142,"")</f>
        <v/>
      </c>
      <c r="Z101" s="34" t="str">
        <f>+IF(NOT(ISBLANK(Z181)),Z181+Z142,"")</f>
        <v/>
      </c>
      <c r="AA101" s="34" t="str">
        <f>+IF(NOT(ISBLANK(AA181)),AA181+AA142,"")</f>
        <v/>
      </c>
      <c r="AB101" s="34" t="str">
        <f>+IF(NOT(ISBLANK(AB181)),AB181+AB142,"")</f>
        <v/>
      </c>
      <c r="AC101" s="34" t="str">
        <f>+IF(NOT(ISBLANK(AC181)),AC181+AC142,"")</f>
        <v/>
      </c>
      <c r="AD101" s="34" t="str">
        <f>+IF(NOT(ISBLANK(AD181)),AD181+AD142,"")</f>
        <v/>
      </c>
      <c r="AE101" s="34" t="str">
        <f>+IF(NOT(ISBLANK(AE181)),AE181+AE142,"")</f>
        <v/>
      </c>
      <c r="AF101" s="34" t="str">
        <f>+IF(NOT(ISBLANK(AF181)),AF181+AF142,"")</f>
        <v/>
      </c>
      <c r="AG101" s="34" t="str">
        <f>+IF(NOT(ISBLANK(AG181)),AG181+AG142,"")</f>
        <v/>
      </c>
      <c r="AH101" s="34" t="str">
        <f>+IF(NOT(ISBLANK(AH181)),AH181+AH142,"")</f>
        <v/>
      </c>
      <c r="AI101" s="34" t="str">
        <f>+IF(NOT(ISBLANK(AI181)),AI181+AI142,"")</f>
        <v/>
      </c>
      <c r="AJ101" s="34" t="str">
        <f>+IF(NOT(ISBLANK(AJ181)),AJ181+AJ142,"")</f>
        <v/>
      </c>
      <c r="AK101" s="34" t="str">
        <f>+IF(NOT(ISBLANK(AK181)),AK181+AK142,"")</f>
        <v/>
      </c>
      <c r="AL101" s="34" t="str">
        <f>+IF(NOT(ISBLANK(AL181)),AL181+AL142,"")</f>
        <v/>
      </c>
      <c r="AM101" s="34" t="str">
        <f>+IF(NOT(ISBLANK(AM181)),AM181+AM142,"")</f>
        <v/>
      </c>
      <c r="AN101" s="34" t="str">
        <f>+IF(NOT(ISBLANK(AN181)),AN181+AN142,"")</f>
        <v/>
      </c>
      <c r="AO101" s="34" t="str">
        <f>+IF(NOT(ISBLANK(AO181)),AO181+AO142,"")</f>
        <v/>
      </c>
      <c r="AP101" s="34" t="str">
        <f>+IF(NOT(ISBLANK(AP181)),AP181+AP142,"")</f>
        <v/>
      </c>
      <c r="AQ101" s="34" t="str">
        <f>+IF(NOT(ISBLANK(AQ181)),AQ181+AQ142,"")</f>
        <v/>
      </c>
      <c r="AR101" s="34" t="str">
        <f>+IF(NOT(ISBLANK(AR181)),AR181+AR142,"")</f>
        <v/>
      </c>
      <c r="AS101" s="34" t="str">
        <f>+IF(NOT(ISBLANK(AS181)),AS181+AS142,"")</f>
        <v/>
      </c>
      <c r="AT101" s="34" t="str">
        <f>+IF(NOT(ISBLANK(AT181)),AT181+AT142,"")</f>
        <v/>
      </c>
      <c r="AU101" s="34" t="str">
        <f>+IF(NOT(ISBLANK(AU181)),AU181+AU142,"")</f>
        <v/>
      </c>
      <c r="AV101" s="34" t="str">
        <f>+IF(NOT(ISBLANK(AV181)),AV181+AV142,"")</f>
        <v/>
      </c>
      <c r="AW101" s="34" t="str">
        <f>+IF(NOT(ISBLANK(AW181)),AW181+AW142,"")</f>
        <v/>
      </c>
      <c r="AX101" s="34" t="str">
        <f>+IF(NOT(ISBLANK(AX181)),AX181+AX142,"")</f>
        <v/>
      </c>
      <c r="AY101" s="34" t="str">
        <f>+IF(NOT(ISBLANK(AY181)),AY181+AY142,"")</f>
        <v/>
      </c>
      <c r="AZ101" s="34" t="str">
        <f>+IF(NOT(ISBLANK(AZ181)),AZ181+AZ142,"")</f>
        <v/>
      </c>
      <c r="BA101" s="34" t="str">
        <f>+IF(NOT(ISBLANK(BA181)),BA181+BA142,"")</f>
        <v/>
      </c>
      <c r="BB101" s="34" t="str">
        <f>+IF(NOT(ISBLANK(BB181)),BB181+BB142,"")</f>
        <v/>
      </c>
      <c r="BC101" s="34" t="str">
        <f>+IF(NOT(ISBLANK(BC181)),BC181+BC142,"")</f>
        <v/>
      </c>
      <c r="BD101" s="34" t="str">
        <f>+IF(NOT(ISBLANK(BD181)),BD181+BD142,"")</f>
        <v/>
      </c>
      <c r="BE101" s="34" t="str">
        <f>+IF(NOT(ISBLANK(BE181)),BE181+BE142,"")</f>
        <v/>
      </c>
      <c r="BF101" s="34" t="str">
        <f>+IF(NOT(ISBLANK(BF181)),BF181+BF142,"")</f>
        <v/>
      </c>
      <c r="BG101" s="34" t="str">
        <f>+IF(NOT(ISBLANK(BG181)),BG181+BG142,"")</f>
        <v/>
      </c>
      <c r="BH101" s="34" t="str">
        <f>+IF(NOT(ISBLANK(BH181)),BH181+BH142,"")</f>
        <v/>
      </c>
      <c r="BI101" s="34" t="str">
        <f>+IF(NOT(ISBLANK(BI181)),BI181+BI142,"")</f>
        <v/>
      </c>
      <c r="BJ101" s="34" t="str">
        <f>+IF(NOT(ISBLANK(BJ181)),BJ181+BJ142,"")</f>
        <v/>
      </c>
      <c r="BK101" s="34" t="str">
        <f>+IF(NOT(ISBLANK(BK181)),BK181+BK142,"")</f>
        <v/>
      </c>
      <c r="BL101" s="34" t="str">
        <f>+IF(NOT(ISBLANK(BL181)),BL181+BL142,"")</f>
        <v/>
      </c>
      <c r="BM101" s="34" t="str">
        <f>+IF(NOT(ISBLANK(BM181)),BM181+BM142,"")</f>
        <v/>
      </c>
      <c r="BN101" s="34" t="str">
        <f>+IF(NOT(ISBLANK(BN181)),BN181+BN142,"")</f>
        <v/>
      </c>
      <c r="BO101" s="34" t="str">
        <f>+IF(NOT(ISBLANK(BO181)),BO181+BO142,"")</f>
        <v/>
      </c>
      <c r="BP101" s="34" t="str">
        <f>+IF(NOT(ISBLANK(BP181)),BP181+BP142,"")</f>
        <v/>
      </c>
      <c r="BQ101" s="34" t="str">
        <f>+IF(NOT(ISBLANK(BQ181)),BQ181+BQ142,"")</f>
        <v/>
      </c>
      <c r="BR101" s="34" t="str">
        <f>+IF(NOT(ISBLANK(BR181)),BR181+BR142,"")</f>
        <v/>
      </c>
      <c r="BS101" s="34" t="str">
        <f>+IF(NOT(ISBLANK(BS181)),BS181+BS142,"")</f>
        <v/>
      </c>
      <c r="BT101" s="34" t="str">
        <f>+IF(NOT(ISBLANK(BT181)),BT181+BT142,"")</f>
        <v/>
      </c>
      <c r="BU101" s="34" t="str">
        <f>+IF(NOT(ISBLANK(BU181)),BU181+BU142,"")</f>
        <v/>
      </c>
      <c r="BV101" s="34" t="str">
        <f>+IF(NOT(ISBLANK(BV181)),BV181+BV142,"")</f>
        <v/>
      </c>
      <c r="BW101" s="34" t="str">
        <f>+IF(NOT(ISBLANK(BW181)),BW181+BW142,"")</f>
        <v/>
      </c>
      <c r="BX101" s="34" t="str">
        <f>+IF(NOT(ISBLANK(BX181)),BX181+BX142,"")</f>
        <v/>
      </c>
      <c r="BY101" s="34">
        <f>+IF(NOT(ISBLANK(BY181)),BY181+BY142,"")</f>
        <v>-25</v>
      </c>
      <c r="BZ101" s="34" t="str">
        <f>+IF(NOT(ISBLANK(BZ181)),BZ181+BZ142,"")</f>
        <v/>
      </c>
      <c r="CA101" s="34" t="str">
        <f>+IF(NOT(ISBLANK(CA181)),CA181+CA142,"")</f>
        <v/>
      </c>
      <c r="CB101" s="34" t="str">
        <f>+IF(NOT(ISBLANK(CB181)),CB181+CB142,"")</f>
        <v/>
      </c>
      <c r="CC101" s="34" t="str">
        <f>+IF(NOT(ISBLANK(CC181)),CC181+CC142,"")</f>
        <v/>
      </c>
      <c r="CD101" s="34" t="str">
        <f>+IF(NOT(ISBLANK(CD181)),CD181+CD142,"")</f>
        <v/>
      </c>
      <c r="CE101" s="34" t="str">
        <f>+IF(NOT(ISBLANK(CE181)),CE181+CE142,"")</f>
        <v/>
      </c>
      <c r="CF101" s="34" t="str">
        <f>+IF(NOT(ISBLANK(CF181)),CF181+CF142,"")</f>
        <v/>
      </c>
      <c r="CG101" s="34" t="str">
        <f>+IF(NOT(ISBLANK(CG181)),CG181+CG142,"")</f>
        <v/>
      </c>
      <c r="CH101" s="34" t="str">
        <f>+IF(NOT(ISBLANK(CH181)),CH181+CH142,"")</f>
        <v/>
      </c>
      <c r="CI101" s="34" t="str">
        <f>+IF(NOT(ISBLANK(CI181)),CI181+CI142,"")</f>
        <v/>
      </c>
      <c r="CJ101" s="34" t="str">
        <f>+IF(NOT(ISBLANK(CJ181)),CJ181+CJ142,"")</f>
        <v/>
      </c>
      <c r="CK101" s="34" t="str">
        <f>+IF(NOT(ISBLANK(CK181)),CK181+CK142,"")</f>
        <v/>
      </c>
      <c r="CL101" s="34" t="str">
        <f>+IF(NOT(ISBLANK(CL181)),CL181+CL142,"")</f>
        <v/>
      </c>
      <c r="CM101" s="34" t="str">
        <f>+IF(NOT(ISBLANK(CM181)),CM181+CM142,"")</f>
        <v/>
      </c>
      <c r="CN101" s="34" t="str">
        <f>+IF(NOT(ISBLANK(CN181)),CN181+CN142,"")</f>
        <v/>
      </c>
      <c r="CO101" s="35"/>
      <c r="CP101" s="36">
        <f>+IF(NOT(ISBLANK(CP181)),CP181+CP142,"")</f>
        <v>-25</v>
      </c>
      <c r="CQ101" s="34"/>
      <c r="CR101" s="37">
        <f>+CP142/-CP181-1</f>
        <v>-1</v>
      </c>
      <c r="CS101" s="38">
        <f>+COUNT(D101:CO101)</f>
        <v>1</v>
      </c>
      <c r="CT101" s="38">
        <f>+COUNTIF(D142:CO142,"&gt;0")</f>
        <v>0</v>
      </c>
      <c r="CU101" s="37">
        <f t="shared" ref="CU101" si="170">+CT101/CS101</f>
        <v>0</v>
      </c>
      <c r="CV101" s="37">
        <f>+SUMIF($D142:$CO142,"&gt;0",$D142:$CO142)/-SUMIF($D181:$CO181,"&lt;0",$D$186:$CO$186)</f>
        <v>0</v>
      </c>
      <c r="CW101" s="37">
        <f>+SUMIF($D181:$CO181,"&lt;0",$D181:$CO181)/SUMIF($D181:$CO181,"&lt;0",$D$186:$CO$186)</f>
        <v>9.0909090909090912E-2</v>
      </c>
      <c r="CX101" s="39">
        <f t="shared" ref="CX101:CX102" si="171">+CP101/CS101</f>
        <v>-25</v>
      </c>
    </row>
    <row r="102" spans="2:102" ht="12.75" hidden="1" customHeight="1" outlineLevel="1" x14ac:dyDescent="0.2">
      <c r="B102" s="40"/>
      <c r="C102" s="40" t="str">
        <f>+C143</f>
        <v>Vilko Repo</v>
      </c>
      <c r="D102" s="41" t="str">
        <f>+IF(NOT(ISBLANK(D182)),D182+D143,"")</f>
        <v/>
      </c>
      <c r="E102" s="41" t="str">
        <f>+IF(NOT(ISBLANK(E182)),E182+E143,"")</f>
        <v/>
      </c>
      <c r="F102" s="41" t="str">
        <f>+IF(NOT(ISBLANK(F182)),F182+F143,"")</f>
        <v/>
      </c>
      <c r="G102" s="41" t="str">
        <f>+IF(NOT(ISBLANK(G182)),G182+G143,"")</f>
        <v/>
      </c>
      <c r="H102" s="41" t="str">
        <f>+IF(NOT(ISBLANK(H182)),H182+H143,"")</f>
        <v/>
      </c>
      <c r="I102" s="41" t="str">
        <f>+IF(NOT(ISBLANK(I182)),I182+I143,"")</f>
        <v/>
      </c>
      <c r="J102" s="41" t="str">
        <f>+IF(NOT(ISBLANK(J182)),J182+J143,"")</f>
        <v/>
      </c>
      <c r="K102" s="41" t="str">
        <f>+IF(NOT(ISBLANK(K182)),K182+K143,"")</f>
        <v/>
      </c>
      <c r="L102" s="41" t="str">
        <f>+IF(NOT(ISBLANK(L182)),L182+L143,"")</f>
        <v/>
      </c>
      <c r="M102" s="41" t="str">
        <f>+IF(NOT(ISBLANK(M182)),M182+M143,"")</f>
        <v/>
      </c>
      <c r="N102" s="41" t="str">
        <f>+IF(NOT(ISBLANK(N182)),N182+N143,"")</f>
        <v/>
      </c>
      <c r="O102" s="41" t="str">
        <f>+IF(NOT(ISBLANK(O182)),O182+O143,"")</f>
        <v/>
      </c>
      <c r="P102" s="41" t="str">
        <f>+IF(NOT(ISBLANK(P182)),P182+P143,"")</f>
        <v/>
      </c>
      <c r="Q102" s="41" t="str">
        <f>+IF(NOT(ISBLANK(Q182)),Q182+Q143,"")</f>
        <v/>
      </c>
      <c r="R102" s="41" t="str">
        <f>+IF(NOT(ISBLANK(R182)),R182+R143,"")</f>
        <v/>
      </c>
      <c r="S102" s="41" t="str">
        <f>+IF(NOT(ISBLANK(S182)),S182+S143,"")</f>
        <v/>
      </c>
      <c r="T102" s="41" t="str">
        <f>+IF(NOT(ISBLANK(T182)),T182+T143,"")</f>
        <v/>
      </c>
      <c r="U102" s="41" t="str">
        <f>+IF(NOT(ISBLANK(U182)),U182+U143,"")</f>
        <v/>
      </c>
      <c r="V102" s="41" t="str">
        <f>+IF(NOT(ISBLANK(V182)),V182+V143,"")</f>
        <v/>
      </c>
      <c r="W102" s="41" t="str">
        <f>+IF(NOT(ISBLANK(W182)),W182+W143,"")</f>
        <v/>
      </c>
      <c r="X102" s="41" t="str">
        <f>+IF(NOT(ISBLANK(X182)),X182+X143,"")</f>
        <v/>
      </c>
      <c r="Y102" s="41" t="str">
        <f>+IF(NOT(ISBLANK(Y182)),Y182+Y143,"")</f>
        <v/>
      </c>
      <c r="Z102" s="41" t="str">
        <f>+IF(NOT(ISBLANK(Z182)),Z182+Z143,"")</f>
        <v/>
      </c>
      <c r="AA102" s="41" t="str">
        <f>+IF(NOT(ISBLANK(AA182)),AA182+AA143,"")</f>
        <v/>
      </c>
      <c r="AB102" s="41" t="str">
        <f>+IF(NOT(ISBLANK(AB182)),AB182+AB143,"")</f>
        <v/>
      </c>
      <c r="AC102" s="41" t="str">
        <f>+IF(NOT(ISBLANK(AC182)),AC182+AC143,"")</f>
        <v/>
      </c>
      <c r="AD102" s="41" t="str">
        <f>+IF(NOT(ISBLANK(AD182)),AD182+AD143,"")</f>
        <v/>
      </c>
      <c r="AE102" s="41" t="str">
        <f>+IF(NOT(ISBLANK(AE182)),AE182+AE143,"")</f>
        <v/>
      </c>
      <c r="AF102" s="41" t="str">
        <f>+IF(NOT(ISBLANK(AF182)),AF182+AF143,"")</f>
        <v/>
      </c>
      <c r="AG102" s="41" t="str">
        <f>+IF(NOT(ISBLANK(AG182)),AG182+AG143,"")</f>
        <v/>
      </c>
      <c r="AH102" s="41" t="str">
        <f>+IF(NOT(ISBLANK(AH182)),AH182+AH143,"")</f>
        <v/>
      </c>
      <c r="AI102" s="41" t="str">
        <f>+IF(NOT(ISBLANK(AI182)),AI182+AI143,"")</f>
        <v/>
      </c>
      <c r="AJ102" s="41" t="str">
        <f>+IF(NOT(ISBLANK(AJ182)),AJ182+AJ143,"")</f>
        <v/>
      </c>
      <c r="AK102" s="41" t="str">
        <f>+IF(NOT(ISBLANK(AK182)),AK182+AK143,"")</f>
        <v/>
      </c>
      <c r="AL102" s="41" t="str">
        <f>+IF(NOT(ISBLANK(AL182)),AL182+AL143,"")</f>
        <v/>
      </c>
      <c r="AM102" s="41" t="str">
        <f>+IF(NOT(ISBLANK(AM182)),AM182+AM143,"")</f>
        <v/>
      </c>
      <c r="AN102" s="41" t="str">
        <f>+IF(NOT(ISBLANK(AN182)),AN182+AN143,"")</f>
        <v/>
      </c>
      <c r="AO102" s="41" t="str">
        <f>+IF(NOT(ISBLANK(AO182)),AO182+AO143,"")</f>
        <v/>
      </c>
      <c r="AP102" s="41" t="str">
        <f>+IF(NOT(ISBLANK(AP182)),AP182+AP143,"")</f>
        <v/>
      </c>
      <c r="AQ102" s="41" t="str">
        <f>+IF(NOT(ISBLANK(AQ182)),AQ182+AQ143,"")</f>
        <v/>
      </c>
      <c r="AR102" s="41" t="str">
        <f>+IF(NOT(ISBLANK(AR182)),AR182+AR143,"")</f>
        <v/>
      </c>
      <c r="AS102" s="41" t="str">
        <f>+IF(NOT(ISBLANK(AS182)),AS182+AS143,"")</f>
        <v/>
      </c>
      <c r="AT102" s="41" t="str">
        <f>+IF(NOT(ISBLANK(AT182)),AT182+AT143,"")</f>
        <v/>
      </c>
      <c r="AU102" s="41" t="str">
        <f>+IF(NOT(ISBLANK(AU182)),AU182+AU143,"")</f>
        <v/>
      </c>
      <c r="AV102" s="41" t="str">
        <f>+IF(NOT(ISBLANK(AV182)),AV182+AV143,"")</f>
        <v/>
      </c>
      <c r="AW102" s="41" t="str">
        <f>+IF(NOT(ISBLANK(AW182)),AW182+AW143,"")</f>
        <v/>
      </c>
      <c r="AX102" s="41" t="str">
        <f>+IF(NOT(ISBLANK(AX182)),AX182+AX143,"")</f>
        <v/>
      </c>
      <c r="AY102" s="41" t="str">
        <f>+IF(NOT(ISBLANK(AY182)),AY182+AY143,"")</f>
        <v/>
      </c>
      <c r="AZ102" s="41" t="str">
        <f>+IF(NOT(ISBLANK(AZ182)),AZ182+AZ143,"")</f>
        <v/>
      </c>
      <c r="BA102" s="41" t="str">
        <f>+IF(NOT(ISBLANK(BA182)),BA182+BA143,"")</f>
        <v/>
      </c>
      <c r="BB102" s="41" t="str">
        <f>+IF(NOT(ISBLANK(BB182)),BB182+BB143,"")</f>
        <v/>
      </c>
      <c r="BC102" s="41" t="str">
        <f>+IF(NOT(ISBLANK(BC182)),BC182+BC143,"")</f>
        <v/>
      </c>
      <c r="BD102" s="41" t="str">
        <f>+IF(NOT(ISBLANK(BD182)),BD182+BD143,"")</f>
        <v/>
      </c>
      <c r="BE102" s="41" t="str">
        <f>+IF(NOT(ISBLANK(BE182)),BE182+BE143,"")</f>
        <v/>
      </c>
      <c r="BF102" s="41" t="str">
        <f>+IF(NOT(ISBLANK(BF182)),BF182+BF143,"")</f>
        <v/>
      </c>
      <c r="BG102" s="41" t="str">
        <f>+IF(NOT(ISBLANK(BG182)),BG182+BG143,"")</f>
        <v/>
      </c>
      <c r="BH102" s="41" t="str">
        <f>+IF(NOT(ISBLANK(BH182)),BH182+BH143,"")</f>
        <v/>
      </c>
      <c r="BI102" s="41" t="str">
        <f>+IF(NOT(ISBLANK(BI182)),BI182+BI143,"")</f>
        <v/>
      </c>
      <c r="BJ102" s="41" t="str">
        <f>+IF(NOT(ISBLANK(BJ182)),BJ182+BJ143,"")</f>
        <v/>
      </c>
      <c r="BK102" s="41" t="str">
        <f>+IF(NOT(ISBLANK(BK182)),BK182+BK143,"")</f>
        <v/>
      </c>
      <c r="BL102" s="41" t="str">
        <f>+IF(NOT(ISBLANK(BL182)),BL182+BL143,"")</f>
        <v/>
      </c>
      <c r="BM102" s="41" t="str">
        <f>+IF(NOT(ISBLANK(BM182)),BM182+BM143,"")</f>
        <v/>
      </c>
      <c r="BN102" s="41" t="str">
        <f>+IF(NOT(ISBLANK(BN182)),BN182+BN143,"")</f>
        <v/>
      </c>
      <c r="BO102" s="41" t="str">
        <f>+IF(NOT(ISBLANK(BO182)),BO182+BO143,"")</f>
        <v/>
      </c>
      <c r="BP102" s="41" t="str">
        <f>+IF(NOT(ISBLANK(BP182)),BP182+BP143,"")</f>
        <v/>
      </c>
      <c r="BQ102" s="41" t="str">
        <f>+IF(NOT(ISBLANK(BQ182)),BQ182+BQ143,"")</f>
        <v/>
      </c>
      <c r="BR102" s="41" t="str">
        <f>+IF(NOT(ISBLANK(BR182)),BR182+BR143,"")</f>
        <v/>
      </c>
      <c r="BS102" s="41" t="str">
        <f>+IF(NOT(ISBLANK(BS182)),BS182+BS143,"")</f>
        <v/>
      </c>
      <c r="BT102" s="41" t="str">
        <f>+IF(NOT(ISBLANK(BT182)),BT182+BT143,"")</f>
        <v/>
      </c>
      <c r="BU102" s="41" t="str">
        <f>+IF(NOT(ISBLANK(BU182)),BU182+BU143,"")</f>
        <v/>
      </c>
      <c r="BV102" s="41" t="str">
        <f>+IF(NOT(ISBLANK(BV182)),BV182+BV143,"")</f>
        <v/>
      </c>
      <c r="BW102" s="41" t="str">
        <f>+IF(NOT(ISBLANK(BW182)),BW182+BW143,"")</f>
        <v/>
      </c>
      <c r="BX102" s="41" t="str">
        <f>+IF(NOT(ISBLANK(BX182)),BX182+BX143,"")</f>
        <v/>
      </c>
      <c r="BY102" s="41" t="str">
        <f>+IF(NOT(ISBLANK(BY182)),BY182+BY143,"")</f>
        <v/>
      </c>
      <c r="BZ102" s="41" t="str">
        <f>+IF(NOT(ISBLANK(BZ182)),BZ182+BZ143,"")</f>
        <v/>
      </c>
      <c r="CA102" s="41">
        <f>+IF(NOT(ISBLANK(CA182)),CA182+CA143,"")</f>
        <v>-20</v>
      </c>
      <c r="CB102" s="41" t="str">
        <f>+IF(NOT(ISBLANK(CB182)),CB182+CB143,"")</f>
        <v/>
      </c>
      <c r="CC102" s="41" t="str">
        <f>+IF(NOT(ISBLANK(CC182)),CC182+CC143,"")</f>
        <v/>
      </c>
      <c r="CD102" s="41" t="str">
        <f>+IF(NOT(ISBLANK(CD182)),CD182+CD143,"")</f>
        <v/>
      </c>
      <c r="CE102" s="41" t="str">
        <f>+IF(NOT(ISBLANK(CE182)),CE182+CE143,"")</f>
        <v/>
      </c>
      <c r="CF102" s="41" t="str">
        <f>+IF(NOT(ISBLANK(CF182)),CF182+CF143,"")</f>
        <v/>
      </c>
      <c r="CG102" s="41" t="str">
        <f>+IF(NOT(ISBLANK(CG182)),CG182+CG143,"")</f>
        <v/>
      </c>
      <c r="CH102" s="41">
        <f>+IF(NOT(ISBLANK(CH182)),CH182+CH143,"")</f>
        <v>-90</v>
      </c>
      <c r="CI102" s="41" t="str">
        <f>+IF(NOT(ISBLANK(CI182)),CI182+CI143,"")</f>
        <v/>
      </c>
      <c r="CJ102" s="41" t="str">
        <f>+IF(NOT(ISBLANK(CJ182)),CJ182+CJ143,"")</f>
        <v/>
      </c>
      <c r="CK102" s="41" t="str">
        <f>+IF(NOT(ISBLANK(CK182)),CK182+CK143,"")</f>
        <v/>
      </c>
      <c r="CL102" s="41" t="str">
        <f>+IF(NOT(ISBLANK(CL182)),CL182+CL143,"")</f>
        <v/>
      </c>
      <c r="CM102" s="41" t="str">
        <f>+IF(NOT(ISBLANK(CM182)),CM182+CM143,"")</f>
        <v/>
      </c>
      <c r="CN102" s="41" t="str">
        <f>+IF(NOT(ISBLANK(CN182)),CN182+CN143,"")</f>
        <v/>
      </c>
      <c r="CO102" s="42"/>
      <c r="CP102" s="29">
        <f>+IF(NOT(ISBLANK(CP182)),CP182+CP143,"")</f>
        <v>-110</v>
      </c>
      <c r="CQ102" s="41"/>
      <c r="CR102" s="30">
        <f>+CP143/-CP182-1</f>
        <v>-1</v>
      </c>
      <c r="CS102" s="31">
        <f>+COUNT(D102:CO102)</f>
        <v>2</v>
      </c>
      <c r="CT102" s="31">
        <f>+COUNTIF(D143:CO143,"&gt;0")</f>
        <v>0</v>
      </c>
      <c r="CU102" s="30">
        <f>+CT102/CS102</f>
        <v>0</v>
      </c>
      <c r="CV102" s="30">
        <f>+SUMIF($D143:$CO143,"&gt;0",$D143:$CO143)/-SUMIF($D182:$CO182,"&lt;0",$D$186:$CO$186)</f>
        <v>0</v>
      </c>
      <c r="CW102" s="30">
        <f>+SUMIF($D182:$CO182,"&lt;0",$D182:$CO182)/SUMIF($D182:$CO182,"&lt;0",$D$186:$CO$186)</f>
        <v>0.20370370370370369</v>
      </c>
      <c r="CX102" s="32">
        <f t="shared" si="171"/>
        <v>-55</v>
      </c>
    </row>
    <row r="103" spans="2:102" ht="12.75" hidden="1" customHeight="1" outlineLevel="1" x14ac:dyDescent="0.2">
      <c r="B103" s="33"/>
      <c r="C103" s="33" t="str">
        <f>+C144</f>
        <v>Vili Ohma</v>
      </c>
      <c r="D103" s="34" t="str">
        <f>+IF(NOT(ISBLANK(D183)),D183+D144,"")</f>
        <v/>
      </c>
      <c r="E103" s="34" t="str">
        <f>+IF(NOT(ISBLANK(E183)),E183+E144,"")</f>
        <v/>
      </c>
      <c r="F103" s="34" t="str">
        <f>+IF(NOT(ISBLANK(F183)),F183+F144,"")</f>
        <v/>
      </c>
      <c r="G103" s="34" t="str">
        <f>+IF(NOT(ISBLANK(G183)),G183+G144,"")</f>
        <v/>
      </c>
      <c r="H103" s="34" t="str">
        <f>+IF(NOT(ISBLANK(H183)),H183+H144,"")</f>
        <v/>
      </c>
      <c r="I103" s="34" t="str">
        <f>+IF(NOT(ISBLANK(I183)),I183+I144,"")</f>
        <v/>
      </c>
      <c r="J103" s="34" t="str">
        <f>+IF(NOT(ISBLANK(J183)),J183+J144,"")</f>
        <v/>
      </c>
      <c r="K103" s="34" t="str">
        <f>+IF(NOT(ISBLANK(K183)),K183+K144,"")</f>
        <v/>
      </c>
      <c r="L103" s="34" t="str">
        <f>+IF(NOT(ISBLANK(L183)),L183+L144,"")</f>
        <v/>
      </c>
      <c r="M103" s="34" t="str">
        <f>+IF(NOT(ISBLANK(M183)),M183+M144,"")</f>
        <v/>
      </c>
      <c r="N103" s="34" t="str">
        <f>+IF(NOT(ISBLANK(N183)),N183+N144,"")</f>
        <v/>
      </c>
      <c r="O103" s="34" t="str">
        <f>+IF(NOT(ISBLANK(O183)),O183+O144,"")</f>
        <v/>
      </c>
      <c r="P103" s="34" t="str">
        <f>+IF(NOT(ISBLANK(P183)),P183+P144,"")</f>
        <v/>
      </c>
      <c r="Q103" s="34" t="str">
        <f>+IF(NOT(ISBLANK(Q183)),Q183+Q144,"")</f>
        <v/>
      </c>
      <c r="R103" s="34" t="str">
        <f>+IF(NOT(ISBLANK(R183)),R183+R144,"")</f>
        <v/>
      </c>
      <c r="S103" s="34" t="str">
        <f>+IF(NOT(ISBLANK(S183)),S183+S144,"")</f>
        <v/>
      </c>
      <c r="T103" s="34" t="str">
        <f>+IF(NOT(ISBLANK(T183)),T183+T144,"")</f>
        <v/>
      </c>
      <c r="U103" s="34" t="str">
        <f>+IF(NOT(ISBLANK(U183)),U183+U144,"")</f>
        <v/>
      </c>
      <c r="V103" s="34" t="str">
        <f>+IF(NOT(ISBLANK(V183)),V183+V144,"")</f>
        <v/>
      </c>
      <c r="W103" s="34" t="str">
        <f>+IF(NOT(ISBLANK(W183)),W183+W144,"")</f>
        <v/>
      </c>
      <c r="X103" s="34" t="str">
        <f>+IF(NOT(ISBLANK(X183)),X183+X144,"")</f>
        <v/>
      </c>
      <c r="Y103" s="34" t="str">
        <f>+IF(NOT(ISBLANK(Y183)),Y183+Y144,"")</f>
        <v/>
      </c>
      <c r="Z103" s="34" t="str">
        <f>+IF(NOT(ISBLANK(Z183)),Z183+Z144,"")</f>
        <v/>
      </c>
      <c r="AA103" s="34" t="str">
        <f>+IF(NOT(ISBLANK(AA183)),AA183+AA144,"")</f>
        <v/>
      </c>
      <c r="AB103" s="34" t="str">
        <f>+IF(NOT(ISBLANK(AB183)),AB183+AB144,"")</f>
        <v/>
      </c>
      <c r="AC103" s="34" t="str">
        <f>+IF(NOT(ISBLANK(AC183)),AC183+AC144,"")</f>
        <v/>
      </c>
      <c r="AD103" s="34" t="str">
        <f>+IF(NOT(ISBLANK(AD183)),AD183+AD144,"")</f>
        <v/>
      </c>
      <c r="AE103" s="34" t="str">
        <f>+IF(NOT(ISBLANK(AE183)),AE183+AE144,"")</f>
        <v/>
      </c>
      <c r="AF103" s="34" t="str">
        <f>+IF(NOT(ISBLANK(AF183)),AF183+AF144,"")</f>
        <v/>
      </c>
      <c r="AG103" s="34" t="str">
        <f>+IF(NOT(ISBLANK(AG183)),AG183+AG144,"")</f>
        <v/>
      </c>
      <c r="AH103" s="34" t="str">
        <f>+IF(NOT(ISBLANK(AH183)),AH183+AH144,"")</f>
        <v/>
      </c>
      <c r="AI103" s="34" t="str">
        <f>+IF(NOT(ISBLANK(AI183)),AI183+AI144,"")</f>
        <v/>
      </c>
      <c r="AJ103" s="34" t="str">
        <f>+IF(NOT(ISBLANK(AJ183)),AJ183+AJ144,"")</f>
        <v/>
      </c>
      <c r="AK103" s="34" t="str">
        <f>+IF(NOT(ISBLANK(AK183)),AK183+AK144,"")</f>
        <v/>
      </c>
      <c r="AL103" s="34" t="str">
        <f>+IF(NOT(ISBLANK(AL183)),AL183+AL144,"")</f>
        <v/>
      </c>
      <c r="AM103" s="34" t="str">
        <f>+IF(NOT(ISBLANK(AM183)),AM183+AM144,"")</f>
        <v/>
      </c>
      <c r="AN103" s="34" t="str">
        <f>+IF(NOT(ISBLANK(AN183)),AN183+AN144,"")</f>
        <v/>
      </c>
      <c r="AO103" s="34" t="str">
        <f>+IF(NOT(ISBLANK(AO183)),AO183+AO144,"")</f>
        <v/>
      </c>
      <c r="AP103" s="34" t="str">
        <f>+IF(NOT(ISBLANK(AP183)),AP183+AP144,"")</f>
        <v/>
      </c>
      <c r="AQ103" s="34" t="str">
        <f>+IF(NOT(ISBLANK(AQ183)),AQ183+AQ144,"")</f>
        <v/>
      </c>
      <c r="AR103" s="34" t="str">
        <f>+IF(NOT(ISBLANK(AR183)),AR183+AR144,"")</f>
        <v/>
      </c>
      <c r="AS103" s="34" t="str">
        <f>+IF(NOT(ISBLANK(AS183)),AS183+AS144,"")</f>
        <v/>
      </c>
      <c r="AT103" s="34" t="str">
        <f>+IF(NOT(ISBLANK(AT183)),AT183+AT144,"")</f>
        <v/>
      </c>
      <c r="AU103" s="34" t="str">
        <f>+IF(NOT(ISBLANK(AU183)),AU183+AU144,"")</f>
        <v/>
      </c>
      <c r="AV103" s="34" t="str">
        <f>+IF(NOT(ISBLANK(AV183)),AV183+AV144,"")</f>
        <v/>
      </c>
      <c r="AW103" s="34" t="str">
        <f>+IF(NOT(ISBLANK(AW183)),AW183+AW144,"")</f>
        <v/>
      </c>
      <c r="AX103" s="34" t="str">
        <f>+IF(NOT(ISBLANK(AX183)),AX183+AX144,"")</f>
        <v/>
      </c>
      <c r="AY103" s="34" t="str">
        <f>+IF(NOT(ISBLANK(AY183)),AY183+AY144,"")</f>
        <v/>
      </c>
      <c r="AZ103" s="34" t="str">
        <f>+IF(NOT(ISBLANK(AZ183)),AZ183+AZ144,"")</f>
        <v/>
      </c>
      <c r="BA103" s="34" t="str">
        <f>+IF(NOT(ISBLANK(BA183)),BA183+BA144,"")</f>
        <v/>
      </c>
      <c r="BB103" s="34" t="str">
        <f>+IF(NOT(ISBLANK(BB183)),BB183+BB144,"")</f>
        <v/>
      </c>
      <c r="BC103" s="34" t="str">
        <f>+IF(NOT(ISBLANK(BC183)),BC183+BC144,"")</f>
        <v/>
      </c>
      <c r="BD103" s="34" t="str">
        <f>+IF(NOT(ISBLANK(BD183)),BD183+BD144,"")</f>
        <v/>
      </c>
      <c r="BE103" s="34" t="str">
        <f>+IF(NOT(ISBLANK(BE183)),BE183+BE144,"")</f>
        <v/>
      </c>
      <c r="BF103" s="34" t="str">
        <f>+IF(NOT(ISBLANK(BF183)),BF183+BF144,"")</f>
        <v/>
      </c>
      <c r="BG103" s="34" t="str">
        <f>+IF(NOT(ISBLANK(BG183)),BG183+BG144,"")</f>
        <v/>
      </c>
      <c r="BH103" s="34" t="str">
        <f>+IF(NOT(ISBLANK(BH183)),BH183+BH144,"")</f>
        <v/>
      </c>
      <c r="BI103" s="34" t="str">
        <f>+IF(NOT(ISBLANK(BI183)),BI183+BI144,"")</f>
        <v/>
      </c>
      <c r="BJ103" s="34" t="str">
        <f>+IF(NOT(ISBLANK(BJ183)),BJ183+BJ144,"")</f>
        <v/>
      </c>
      <c r="BK103" s="34" t="str">
        <f>+IF(NOT(ISBLANK(BK183)),BK183+BK144,"")</f>
        <v/>
      </c>
      <c r="BL103" s="34" t="str">
        <f>+IF(NOT(ISBLANK(BL183)),BL183+BL144,"")</f>
        <v/>
      </c>
      <c r="BM103" s="34" t="str">
        <f>+IF(NOT(ISBLANK(BM183)),BM183+BM144,"")</f>
        <v/>
      </c>
      <c r="BN103" s="34" t="str">
        <f>+IF(NOT(ISBLANK(BN183)),BN183+BN144,"")</f>
        <v/>
      </c>
      <c r="BO103" s="34" t="str">
        <f>+IF(NOT(ISBLANK(BO183)),BO183+BO144,"")</f>
        <v/>
      </c>
      <c r="BP103" s="34" t="str">
        <f>+IF(NOT(ISBLANK(BP183)),BP183+BP144,"")</f>
        <v/>
      </c>
      <c r="BQ103" s="34" t="str">
        <f>+IF(NOT(ISBLANK(BQ183)),BQ183+BQ144,"")</f>
        <v/>
      </c>
      <c r="BR103" s="34" t="str">
        <f>+IF(NOT(ISBLANK(BR183)),BR183+BR144,"")</f>
        <v/>
      </c>
      <c r="BS103" s="34" t="str">
        <f>+IF(NOT(ISBLANK(BS183)),BS183+BS144,"")</f>
        <v/>
      </c>
      <c r="BT103" s="34" t="str">
        <f>+IF(NOT(ISBLANK(BT183)),BT183+BT144,"")</f>
        <v/>
      </c>
      <c r="BU103" s="34" t="str">
        <f>+IF(NOT(ISBLANK(BU183)),BU183+BU144,"")</f>
        <v/>
      </c>
      <c r="BV103" s="34" t="str">
        <f>+IF(NOT(ISBLANK(BV183)),BV183+BV144,"")</f>
        <v/>
      </c>
      <c r="BW103" s="34" t="str">
        <f>+IF(NOT(ISBLANK(BW183)),BW183+BW144,"")</f>
        <v/>
      </c>
      <c r="BX103" s="34" t="str">
        <f>+IF(NOT(ISBLANK(BX183)),BX183+BX144,"")</f>
        <v/>
      </c>
      <c r="BY103" s="34" t="str">
        <f>+IF(NOT(ISBLANK(BY183)),BY183+BY144,"")</f>
        <v/>
      </c>
      <c r="BZ103" s="34" t="str">
        <f>+IF(NOT(ISBLANK(BZ183)),BZ183+BZ144,"")</f>
        <v/>
      </c>
      <c r="CA103" s="34" t="str">
        <f>+IF(NOT(ISBLANK(CA183)),CA183+CA144,"")</f>
        <v/>
      </c>
      <c r="CB103" s="34" t="str">
        <f>+IF(NOT(ISBLANK(CB183)),CB183+CB144,"")</f>
        <v/>
      </c>
      <c r="CC103" s="34" t="str">
        <f>+IF(NOT(ISBLANK(CC183)),CC183+CC144,"")</f>
        <v/>
      </c>
      <c r="CD103" s="34" t="str">
        <f>+IF(NOT(ISBLANK(CD183)),CD183+CD144,"")</f>
        <v/>
      </c>
      <c r="CE103" s="34" t="str">
        <f>+IF(NOT(ISBLANK(CE183)),CE183+CE144,"")</f>
        <v/>
      </c>
      <c r="CF103" s="34" t="str">
        <f>+IF(NOT(ISBLANK(CF183)),CF183+CF144,"")</f>
        <v/>
      </c>
      <c r="CG103" s="34">
        <f>+IF(NOT(ISBLANK(CG183)),CG183+CG144,"")</f>
        <v>240</v>
      </c>
      <c r="CH103" s="34" t="str">
        <f>+IF(NOT(ISBLANK(CH183)),CH183+CH144,"")</f>
        <v/>
      </c>
      <c r="CI103" s="34" t="str">
        <f>+IF(NOT(ISBLANK(CI183)),CI183+CI144,"")</f>
        <v/>
      </c>
      <c r="CJ103" s="34" t="str">
        <f>+IF(NOT(ISBLANK(CJ183)),CJ183+CJ144,"")</f>
        <v/>
      </c>
      <c r="CK103" s="34" t="str">
        <f>+IF(NOT(ISBLANK(CK183)),CK183+CK144,"")</f>
        <v/>
      </c>
      <c r="CL103" s="34" t="str">
        <f>+IF(NOT(ISBLANK(CL183)),CL183+CL144,"")</f>
        <v/>
      </c>
      <c r="CM103" s="34" t="str">
        <f>+IF(NOT(ISBLANK(CM183)),CM183+CM144,"")</f>
        <v/>
      </c>
      <c r="CN103" s="34" t="str">
        <f>+IF(NOT(ISBLANK(CN183)),CN183+CN144,"")</f>
        <v/>
      </c>
      <c r="CO103" s="35"/>
      <c r="CP103" s="36">
        <f>+IF(NOT(ISBLANK(CP183)),CP183+CP144,"")</f>
        <v>240</v>
      </c>
      <c r="CQ103" s="34"/>
      <c r="CR103" s="37">
        <f>+CP144/-CP183-1</f>
        <v>8</v>
      </c>
      <c r="CS103" s="38">
        <f>+COUNT(D103:CO103)</f>
        <v>1</v>
      </c>
      <c r="CT103" s="38">
        <f>+COUNTIF(D144:CO144,"&gt;0")</f>
        <v>1</v>
      </c>
      <c r="CU103" s="37">
        <f t="shared" ref="CU103" si="172">+CT103/CS103</f>
        <v>1</v>
      </c>
      <c r="CV103" s="37">
        <f>+SUMIF($D144:$CO144,"&gt;0",$D144:$CO144)/-SUMIF($D183:$CO183,"&lt;0",$D$186:$CO$186)</f>
        <v>1</v>
      </c>
      <c r="CW103" s="37">
        <f>+SUMIF($D183:$CO183,"&lt;0",$D183:$CO183)/SUMIF($D183:$CO183,"&lt;0",$D$186:$CO$186)</f>
        <v>0.1111111111111111</v>
      </c>
      <c r="CX103" s="39">
        <f t="shared" ref="CX103:CX104" si="173">+CP103/CS103</f>
        <v>240</v>
      </c>
    </row>
    <row r="104" spans="2:102" ht="12.75" hidden="1" customHeight="1" outlineLevel="1" x14ac:dyDescent="0.2">
      <c r="B104" s="40"/>
      <c r="C104" s="40" t="str">
        <f>+C145</f>
        <v>Tuomas Haapalehto</v>
      </c>
      <c r="D104" s="41" t="str">
        <f>+IF(NOT(ISBLANK(D184)),D184+D145,"")</f>
        <v/>
      </c>
      <c r="E104" s="41" t="str">
        <f>+IF(NOT(ISBLANK(E184)),E184+E145,"")</f>
        <v/>
      </c>
      <c r="F104" s="41" t="str">
        <f>+IF(NOT(ISBLANK(F184)),F184+F145,"")</f>
        <v/>
      </c>
      <c r="G104" s="41" t="str">
        <f>+IF(NOT(ISBLANK(G184)),G184+G145,"")</f>
        <v/>
      </c>
      <c r="H104" s="41" t="str">
        <f>+IF(NOT(ISBLANK(H184)),H184+H145,"")</f>
        <v/>
      </c>
      <c r="I104" s="41" t="str">
        <f>+IF(NOT(ISBLANK(I184)),I184+I145,"")</f>
        <v/>
      </c>
      <c r="J104" s="41" t="str">
        <f>+IF(NOT(ISBLANK(J184)),J184+J145,"")</f>
        <v/>
      </c>
      <c r="K104" s="41" t="str">
        <f>+IF(NOT(ISBLANK(K184)),K184+K145,"")</f>
        <v/>
      </c>
      <c r="L104" s="41" t="str">
        <f>+IF(NOT(ISBLANK(L184)),L184+L145,"")</f>
        <v/>
      </c>
      <c r="M104" s="41" t="str">
        <f>+IF(NOT(ISBLANK(M184)),M184+M145,"")</f>
        <v/>
      </c>
      <c r="N104" s="41" t="str">
        <f>+IF(NOT(ISBLANK(N184)),N184+N145,"")</f>
        <v/>
      </c>
      <c r="O104" s="41" t="str">
        <f>+IF(NOT(ISBLANK(O184)),O184+O145,"")</f>
        <v/>
      </c>
      <c r="P104" s="41" t="str">
        <f>+IF(NOT(ISBLANK(P184)),P184+P145,"")</f>
        <v/>
      </c>
      <c r="Q104" s="41" t="str">
        <f>+IF(NOT(ISBLANK(Q184)),Q184+Q145,"")</f>
        <v/>
      </c>
      <c r="R104" s="41" t="str">
        <f>+IF(NOT(ISBLANK(R184)),R184+R145,"")</f>
        <v/>
      </c>
      <c r="S104" s="41" t="str">
        <f>+IF(NOT(ISBLANK(S184)),S184+S145,"")</f>
        <v/>
      </c>
      <c r="T104" s="41" t="str">
        <f>+IF(NOT(ISBLANK(T184)),T184+T145,"")</f>
        <v/>
      </c>
      <c r="U104" s="41" t="str">
        <f>+IF(NOT(ISBLANK(U184)),U184+U145,"")</f>
        <v/>
      </c>
      <c r="V104" s="41" t="str">
        <f>+IF(NOT(ISBLANK(V184)),V184+V145,"")</f>
        <v/>
      </c>
      <c r="W104" s="41" t="str">
        <f>+IF(NOT(ISBLANK(W184)),W184+W145,"")</f>
        <v/>
      </c>
      <c r="X104" s="41" t="str">
        <f>+IF(NOT(ISBLANK(X184)),X184+X145,"")</f>
        <v/>
      </c>
      <c r="Y104" s="41" t="str">
        <f>+IF(NOT(ISBLANK(Y184)),Y184+Y145,"")</f>
        <v/>
      </c>
      <c r="Z104" s="41" t="str">
        <f>+IF(NOT(ISBLANK(Z184)),Z184+Z145,"")</f>
        <v/>
      </c>
      <c r="AA104" s="41" t="str">
        <f>+IF(NOT(ISBLANK(AA184)),AA184+AA145,"")</f>
        <v/>
      </c>
      <c r="AB104" s="41" t="str">
        <f>+IF(NOT(ISBLANK(AB184)),AB184+AB145,"")</f>
        <v/>
      </c>
      <c r="AC104" s="41" t="str">
        <f>+IF(NOT(ISBLANK(AC184)),AC184+AC145,"")</f>
        <v/>
      </c>
      <c r="AD104" s="41" t="str">
        <f>+IF(NOT(ISBLANK(AD184)),AD184+AD145,"")</f>
        <v/>
      </c>
      <c r="AE104" s="41" t="str">
        <f>+IF(NOT(ISBLANK(AE184)),AE184+AE145,"")</f>
        <v/>
      </c>
      <c r="AF104" s="41" t="str">
        <f>+IF(NOT(ISBLANK(AF184)),AF184+AF145,"")</f>
        <v/>
      </c>
      <c r="AG104" s="41" t="str">
        <f>+IF(NOT(ISBLANK(AG184)),AG184+AG145,"")</f>
        <v/>
      </c>
      <c r="AH104" s="41" t="str">
        <f>+IF(NOT(ISBLANK(AH184)),AH184+AH145,"")</f>
        <v/>
      </c>
      <c r="AI104" s="41" t="str">
        <f>+IF(NOT(ISBLANK(AI184)),AI184+AI145,"")</f>
        <v/>
      </c>
      <c r="AJ104" s="41" t="str">
        <f>+IF(NOT(ISBLANK(AJ184)),AJ184+AJ145,"")</f>
        <v/>
      </c>
      <c r="AK104" s="41" t="str">
        <f>+IF(NOT(ISBLANK(AK184)),AK184+AK145,"")</f>
        <v/>
      </c>
      <c r="AL104" s="41" t="str">
        <f>+IF(NOT(ISBLANK(AL184)),AL184+AL145,"")</f>
        <v/>
      </c>
      <c r="AM104" s="41" t="str">
        <f>+IF(NOT(ISBLANK(AM184)),AM184+AM145,"")</f>
        <v/>
      </c>
      <c r="AN104" s="41" t="str">
        <f>+IF(NOT(ISBLANK(AN184)),AN184+AN145,"")</f>
        <v/>
      </c>
      <c r="AO104" s="41" t="str">
        <f>+IF(NOT(ISBLANK(AO184)),AO184+AO145,"")</f>
        <v/>
      </c>
      <c r="AP104" s="41" t="str">
        <f>+IF(NOT(ISBLANK(AP184)),AP184+AP145,"")</f>
        <v/>
      </c>
      <c r="AQ104" s="41" t="str">
        <f>+IF(NOT(ISBLANK(AQ184)),AQ184+AQ145,"")</f>
        <v/>
      </c>
      <c r="AR104" s="41" t="str">
        <f>+IF(NOT(ISBLANK(AR184)),AR184+AR145,"")</f>
        <v/>
      </c>
      <c r="AS104" s="41" t="str">
        <f>+IF(NOT(ISBLANK(AS184)),AS184+AS145,"")</f>
        <v/>
      </c>
      <c r="AT104" s="41" t="str">
        <f>+IF(NOT(ISBLANK(AT184)),AT184+AT145,"")</f>
        <v/>
      </c>
      <c r="AU104" s="41" t="str">
        <f>+IF(NOT(ISBLANK(AU184)),AU184+AU145,"")</f>
        <v/>
      </c>
      <c r="AV104" s="41" t="str">
        <f>+IF(NOT(ISBLANK(AV184)),AV184+AV145,"")</f>
        <v/>
      </c>
      <c r="AW104" s="41" t="str">
        <f>+IF(NOT(ISBLANK(AW184)),AW184+AW145,"")</f>
        <v/>
      </c>
      <c r="AX104" s="41" t="str">
        <f>+IF(NOT(ISBLANK(AX184)),AX184+AX145,"")</f>
        <v/>
      </c>
      <c r="AY104" s="41" t="str">
        <f>+IF(NOT(ISBLANK(AY184)),AY184+AY145,"")</f>
        <v/>
      </c>
      <c r="AZ104" s="41" t="str">
        <f>+IF(NOT(ISBLANK(AZ184)),AZ184+AZ145,"")</f>
        <v/>
      </c>
      <c r="BA104" s="41" t="str">
        <f>+IF(NOT(ISBLANK(BA184)),BA184+BA145,"")</f>
        <v/>
      </c>
      <c r="BB104" s="41" t="str">
        <f>+IF(NOT(ISBLANK(BB184)),BB184+BB145,"")</f>
        <v/>
      </c>
      <c r="BC104" s="41" t="str">
        <f>+IF(NOT(ISBLANK(BC184)),BC184+BC145,"")</f>
        <v/>
      </c>
      <c r="BD104" s="41" t="str">
        <f>+IF(NOT(ISBLANK(BD184)),BD184+BD145,"")</f>
        <v/>
      </c>
      <c r="BE104" s="41" t="str">
        <f>+IF(NOT(ISBLANK(BE184)),BE184+BE145,"")</f>
        <v/>
      </c>
      <c r="BF104" s="41" t="str">
        <f>+IF(NOT(ISBLANK(BF184)),BF184+BF145,"")</f>
        <v/>
      </c>
      <c r="BG104" s="41" t="str">
        <f>+IF(NOT(ISBLANK(BG184)),BG184+BG145,"")</f>
        <v/>
      </c>
      <c r="BH104" s="41" t="str">
        <f>+IF(NOT(ISBLANK(BH184)),BH184+BH145,"")</f>
        <v/>
      </c>
      <c r="BI104" s="41" t="str">
        <f>+IF(NOT(ISBLANK(BI184)),BI184+BI145,"")</f>
        <v/>
      </c>
      <c r="BJ104" s="41" t="str">
        <f>+IF(NOT(ISBLANK(BJ184)),BJ184+BJ145,"")</f>
        <v/>
      </c>
      <c r="BK104" s="41" t="str">
        <f>+IF(NOT(ISBLANK(BK184)),BK184+BK145,"")</f>
        <v/>
      </c>
      <c r="BL104" s="41" t="str">
        <f>+IF(NOT(ISBLANK(BL184)),BL184+BL145,"")</f>
        <v/>
      </c>
      <c r="BM104" s="41" t="str">
        <f>+IF(NOT(ISBLANK(BM184)),BM184+BM145,"")</f>
        <v/>
      </c>
      <c r="BN104" s="41" t="str">
        <f>+IF(NOT(ISBLANK(BN184)),BN184+BN145,"")</f>
        <v/>
      </c>
      <c r="BO104" s="41" t="str">
        <f>+IF(NOT(ISBLANK(BO184)),BO184+BO145,"")</f>
        <v/>
      </c>
      <c r="BP104" s="41" t="str">
        <f>+IF(NOT(ISBLANK(BP184)),BP184+BP145,"")</f>
        <v/>
      </c>
      <c r="BQ104" s="41" t="str">
        <f>+IF(NOT(ISBLANK(BQ184)),BQ184+BQ145,"")</f>
        <v/>
      </c>
      <c r="BR104" s="41" t="str">
        <f>+IF(NOT(ISBLANK(BR184)),BR184+BR145,"")</f>
        <v/>
      </c>
      <c r="BS104" s="41" t="str">
        <f>+IF(NOT(ISBLANK(BS184)),BS184+BS145,"")</f>
        <v/>
      </c>
      <c r="BT104" s="41" t="str">
        <f>+IF(NOT(ISBLANK(BT184)),BT184+BT145,"")</f>
        <v/>
      </c>
      <c r="BU104" s="41" t="str">
        <f>+IF(NOT(ISBLANK(BU184)),BU184+BU145,"")</f>
        <v/>
      </c>
      <c r="BV104" s="41" t="str">
        <f>+IF(NOT(ISBLANK(BV184)),BV184+BV145,"")</f>
        <v/>
      </c>
      <c r="BW104" s="41" t="str">
        <f>+IF(NOT(ISBLANK(BW184)),BW184+BW145,"")</f>
        <v/>
      </c>
      <c r="BX104" s="41" t="str">
        <f>+IF(NOT(ISBLANK(BX184)),BX184+BX145,"")</f>
        <v/>
      </c>
      <c r="BY104" s="41" t="str">
        <f>+IF(NOT(ISBLANK(BY184)),BY184+BY145,"")</f>
        <v/>
      </c>
      <c r="BZ104" s="41" t="str">
        <f>+IF(NOT(ISBLANK(BZ184)),BZ184+BZ145,"")</f>
        <v/>
      </c>
      <c r="CA104" s="41" t="str">
        <f>+IF(NOT(ISBLANK(CA184)),CA184+CA145,"")</f>
        <v/>
      </c>
      <c r="CB104" s="41" t="str">
        <f>+IF(NOT(ISBLANK(CB184)),CB184+CB145,"")</f>
        <v/>
      </c>
      <c r="CC104" s="41" t="str">
        <f>+IF(NOT(ISBLANK(CC184)),CC184+CC145,"")</f>
        <v/>
      </c>
      <c r="CD104" s="41" t="str">
        <f>+IF(NOT(ISBLANK(CD184)),CD184+CD145,"")</f>
        <v/>
      </c>
      <c r="CE104" s="41" t="str">
        <f>+IF(NOT(ISBLANK(CE184)),CE184+CE145,"")</f>
        <v/>
      </c>
      <c r="CF104" s="41" t="str">
        <f>+IF(NOT(ISBLANK(CF184)),CF184+CF145,"")</f>
        <v/>
      </c>
      <c r="CG104" s="41" t="str">
        <f>+IF(NOT(ISBLANK(CG184)),CG184+CG145,"")</f>
        <v/>
      </c>
      <c r="CH104" s="41" t="str">
        <f>+IF(NOT(ISBLANK(CH184)),CH184+CH145,"")</f>
        <v/>
      </c>
      <c r="CI104" s="41" t="str">
        <f>+IF(NOT(ISBLANK(CI184)),CI184+CI145,"")</f>
        <v/>
      </c>
      <c r="CJ104" s="41">
        <f>+IF(NOT(ISBLANK(CJ184)),CJ184+CJ145,"")</f>
        <v>-20</v>
      </c>
      <c r="CK104" s="41" t="str">
        <f>+IF(NOT(ISBLANK(CK184)),CK184+CK145,"")</f>
        <v/>
      </c>
      <c r="CL104" s="41" t="str">
        <f>+IF(NOT(ISBLANK(CL184)),CL184+CL145,"")</f>
        <v/>
      </c>
      <c r="CM104" s="41" t="str">
        <f>+IF(NOT(ISBLANK(CM184)),CM184+CM145,"")</f>
        <v/>
      </c>
      <c r="CN104" s="41" t="str">
        <f>+IF(NOT(ISBLANK(CN184)),CN184+CN145,"")</f>
        <v/>
      </c>
      <c r="CO104" s="42"/>
      <c r="CP104" s="29">
        <f>+IF(NOT(ISBLANK(CP184)),CP184+CP145,"")</f>
        <v>-20</v>
      </c>
      <c r="CQ104" s="41"/>
      <c r="CR104" s="30">
        <f>+CP145/-CP184-1</f>
        <v>-1</v>
      </c>
      <c r="CS104" s="31">
        <f>+COUNT(D104:CO104)</f>
        <v>1</v>
      </c>
      <c r="CT104" s="31">
        <f>+COUNTIF(D145:CO145,"&gt;0")</f>
        <v>0</v>
      </c>
      <c r="CU104" s="30">
        <f>+CT104/CS104</f>
        <v>0</v>
      </c>
      <c r="CV104" s="30">
        <f>+SUMIF($D145:$CO145,"&gt;0",$D145:$CO145)/-SUMIF($D184:$CO184,"&lt;0",$D$186:$CO$186)</f>
        <v>0</v>
      </c>
      <c r="CW104" s="30">
        <f>+SUMIF($D184:$CO184,"&lt;0",$D184:$CO184)/SUMIF($D184:$CO184,"&lt;0",$D$186:$CO$186)</f>
        <v>0.2</v>
      </c>
      <c r="CX104" s="32">
        <f t="shared" si="173"/>
        <v>-20</v>
      </c>
    </row>
    <row r="105" spans="2:102" s="67" customFormat="1" ht="6" hidden="1" customHeight="1" outlineLevel="1" x14ac:dyDescent="0.2">
      <c r="B105" s="63"/>
      <c r="C105" s="63"/>
      <c r="D105" s="64"/>
      <c r="E105" s="64"/>
      <c r="F105" s="64"/>
      <c r="G105" s="64"/>
      <c r="H105" s="64"/>
      <c r="I105" s="64"/>
      <c r="J105" s="64"/>
      <c r="K105" s="64"/>
      <c r="L105" s="64"/>
      <c r="M105" s="64"/>
      <c r="N105" s="64"/>
      <c r="O105" s="64"/>
      <c r="P105" s="64"/>
      <c r="Q105" s="64"/>
      <c r="R105" s="64"/>
      <c r="S105" s="64"/>
      <c r="T105" s="64"/>
      <c r="U105" s="64"/>
      <c r="V105" s="64"/>
      <c r="W105" s="64"/>
      <c r="X105" s="64"/>
      <c r="Y105" s="64"/>
      <c r="Z105" s="64"/>
      <c r="AA105" s="64"/>
      <c r="AB105" s="64"/>
      <c r="AC105" s="64"/>
      <c r="AD105" s="64"/>
      <c r="AE105" s="64"/>
      <c r="AF105" s="64"/>
      <c r="AG105" s="64"/>
      <c r="AH105" s="64"/>
      <c r="AI105" s="64"/>
      <c r="AJ105" s="64"/>
      <c r="AK105" s="64"/>
      <c r="AL105" s="64"/>
      <c r="AM105" s="64"/>
      <c r="AN105" s="64"/>
      <c r="AO105" s="64"/>
      <c r="AP105" s="64"/>
      <c r="AQ105" s="64"/>
      <c r="AR105" s="64"/>
      <c r="AS105" s="64"/>
      <c r="AT105" s="64"/>
      <c r="AU105" s="64"/>
      <c r="AV105" s="64"/>
      <c r="AW105" s="64"/>
      <c r="AX105" s="64"/>
      <c r="AY105" s="64"/>
      <c r="AZ105" s="64"/>
      <c r="BA105" s="64"/>
      <c r="BB105" s="64"/>
      <c r="BC105" s="64"/>
      <c r="BD105" s="64"/>
      <c r="BE105" s="64"/>
      <c r="BF105" s="64"/>
      <c r="BG105" s="64"/>
      <c r="BH105" s="64"/>
      <c r="BI105" s="64"/>
      <c r="BJ105" s="64"/>
      <c r="BK105" s="64"/>
      <c r="BL105" s="64"/>
      <c r="BM105" s="64"/>
      <c r="BN105" s="64"/>
      <c r="BO105" s="64"/>
      <c r="BP105" s="64"/>
      <c r="BQ105" s="64"/>
      <c r="BR105" s="64"/>
      <c r="BS105" s="64"/>
      <c r="BT105" s="64"/>
      <c r="BU105" s="64"/>
      <c r="BV105" s="64"/>
      <c r="BW105" s="64"/>
      <c r="BX105" s="64"/>
      <c r="BY105" s="64"/>
      <c r="BZ105" s="64"/>
      <c r="CA105" s="64"/>
      <c r="CB105" s="64"/>
      <c r="CC105" s="64"/>
      <c r="CD105" s="64"/>
      <c r="CE105" s="64"/>
      <c r="CF105" s="64"/>
      <c r="CG105" s="64"/>
      <c r="CH105" s="64"/>
      <c r="CI105" s="64"/>
      <c r="CJ105" s="64"/>
      <c r="CK105" s="64"/>
      <c r="CL105" s="64"/>
      <c r="CM105" s="64"/>
      <c r="CN105" s="64"/>
      <c r="CO105" s="65"/>
      <c r="CP105" s="66"/>
      <c r="CQ105" s="65"/>
    </row>
    <row r="106" spans="2:102" s="25" customFormat="1" ht="12.75" hidden="1" customHeight="1" outlineLevel="1" x14ac:dyDescent="0.2">
      <c r="B106" s="43"/>
      <c r="C106" s="43" t="s">
        <v>7</v>
      </c>
      <c r="D106" s="44">
        <f t="shared" ref="D106:AI106" si="174">+COUNT(D72:D105)</f>
        <v>4</v>
      </c>
      <c r="E106" s="44">
        <f t="shared" si="174"/>
        <v>7</v>
      </c>
      <c r="F106" s="44">
        <f t="shared" si="174"/>
        <v>7</v>
      </c>
      <c r="G106" s="44">
        <f t="shared" si="174"/>
        <v>4</v>
      </c>
      <c r="H106" s="44">
        <f t="shared" si="174"/>
        <v>4</v>
      </c>
      <c r="I106" s="44">
        <f t="shared" si="174"/>
        <v>4</v>
      </c>
      <c r="J106" s="44">
        <f t="shared" si="174"/>
        <v>5</v>
      </c>
      <c r="K106" s="44">
        <f t="shared" si="174"/>
        <v>5</v>
      </c>
      <c r="L106" s="44">
        <f t="shared" si="174"/>
        <v>4</v>
      </c>
      <c r="M106" s="44">
        <f t="shared" si="174"/>
        <v>4</v>
      </c>
      <c r="N106" s="44">
        <f t="shared" si="174"/>
        <v>4</v>
      </c>
      <c r="O106" s="44">
        <f t="shared" si="174"/>
        <v>4</v>
      </c>
      <c r="P106" s="44">
        <f t="shared" si="174"/>
        <v>5</v>
      </c>
      <c r="Q106" s="44">
        <f t="shared" si="174"/>
        <v>7</v>
      </c>
      <c r="R106" s="44">
        <f t="shared" si="174"/>
        <v>5</v>
      </c>
      <c r="S106" s="44">
        <f t="shared" si="174"/>
        <v>5</v>
      </c>
      <c r="T106" s="44">
        <f t="shared" si="174"/>
        <v>7</v>
      </c>
      <c r="U106" s="44">
        <f t="shared" si="174"/>
        <v>4</v>
      </c>
      <c r="V106" s="44">
        <f t="shared" si="174"/>
        <v>6</v>
      </c>
      <c r="W106" s="44">
        <f t="shared" si="174"/>
        <v>6</v>
      </c>
      <c r="X106" s="44">
        <f t="shared" si="174"/>
        <v>6</v>
      </c>
      <c r="Y106" s="44">
        <f t="shared" si="174"/>
        <v>4</v>
      </c>
      <c r="Z106" s="44">
        <f t="shared" si="174"/>
        <v>5</v>
      </c>
      <c r="AA106" s="44">
        <f t="shared" si="174"/>
        <v>5</v>
      </c>
      <c r="AB106" s="44">
        <f t="shared" si="174"/>
        <v>5</v>
      </c>
      <c r="AC106" s="44">
        <f t="shared" si="174"/>
        <v>5</v>
      </c>
      <c r="AD106" s="44">
        <f t="shared" si="174"/>
        <v>4</v>
      </c>
      <c r="AE106" s="44">
        <f t="shared" si="174"/>
        <v>4</v>
      </c>
      <c r="AF106" s="44">
        <f t="shared" si="174"/>
        <v>5</v>
      </c>
      <c r="AG106" s="44">
        <f t="shared" si="174"/>
        <v>4</v>
      </c>
      <c r="AH106" s="44">
        <f t="shared" si="174"/>
        <v>4</v>
      </c>
      <c r="AI106" s="44">
        <f t="shared" si="174"/>
        <v>4</v>
      </c>
      <c r="AJ106" s="44">
        <f t="shared" ref="AJ106:BO106" si="175">+COUNT(AJ72:AJ105)</f>
        <v>7</v>
      </c>
      <c r="AK106" s="44">
        <f t="shared" si="175"/>
        <v>5</v>
      </c>
      <c r="AL106" s="44">
        <f t="shared" si="175"/>
        <v>5</v>
      </c>
      <c r="AM106" s="44">
        <f t="shared" si="175"/>
        <v>4</v>
      </c>
      <c r="AN106" s="44">
        <f t="shared" si="175"/>
        <v>5</v>
      </c>
      <c r="AO106" s="44">
        <f t="shared" si="175"/>
        <v>5</v>
      </c>
      <c r="AP106" s="44">
        <f t="shared" si="175"/>
        <v>4</v>
      </c>
      <c r="AQ106" s="44">
        <f t="shared" si="175"/>
        <v>5</v>
      </c>
      <c r="AR106" s="44">
        <f t="shared" si="175"/>
        <v>4</v>
      </c>
      <c r="AS106" s="44">
        <f t="shared" si="175"/>
        <v>9</v>
      </c>
      <c r="AT106" s="44">
        <f t="shared" si="175"/>
        <v>5</v>
      </c>
      <c r="AU106" s="44">
        <f t="shared" si="175"/>
        <v>4</v>
      </c>
      <c r="AV106" s="44">
        <f t="shared" si="175"/>
        <v>6</v>
      </c>
      <c r="AW106" s="44">
        <f t="shared" si="175"/>
        <v>8</v>
      </c>
      <c r="AX106" s="44">
        <f t="shared" si="175"/>
        <v>4</v>
      </c>
      <c r="AY106" s="44">
        <f t="shared" si="175"/>
        <v>4</v>
      </c>
      <c r="AZ106" s="44">
        <f t="shared" si="175"/>
        <v>6</v>
      </c>
      <c r="BA106" s="44">
        <f t="shared" si="175"/>
        <v>4</v>
      </c>
      <c r="BB106" s="44">
        <f t="shared" si="175"/>
        <v>4</v>
      </c>
      <c r="BC106" s="44">
        <f t="shared" si="175"/>
        <v>5</v>
      </c>
      <c r="BD106" s="44">
        <f t="shared" si="175"/>
        <v>6</v>
      </c>
      <c r="BE106" s="44">
        <f t="shared" si="175"/>
        <v>4</v>
      </c>
      <c r="BF106" s="44">
        <f t="shared" si="175"/>
        <v>6</v>
      </c>
      <c r="BG106" s="44">
        <f t="shared" si="175"/>
        <v>5</v>
      </c>
      <c r="BH106" s="44">
        <f t="shared" si="175"/>
        <v>8</v>
      </c>
      <c r="BI106" s="44">
        <f t="shared" si="175"/>
        <v>5</v>
      </c>
      <c r="BJ106" s="44">
        <f t="shared" si="175"/>
        <v>4</v>
      </c>
      <c r="BK106" s="44">
        <f t="shared" si="175"/>
        <v>5</v>
      </c>
      <c r="BL106" s="44">
        <f t="shared" si="175"/>
        <v>6</v>
      </c>
      <c r="BM106" s="44">
        <f t="shared" si="175"/>
        <v>5</v>
      </c>
      <c r="BN106" s="44">
        <f t="shared" si="175"/>
        <v>4</v>
      </c>
      <c r="BO106" s="44">
        <f t="shared" si="175"/>
        <v>4</v>
      </c>
      <c r="BP106" s="44">
        <f t="shared" ref="BP106:BX106" si="176">+COUNT(BP72:BP105)</f>
        <v>12</v>
      </c>
      <c r="BQ106" s="44">
        <f t="shared" si="176"/>
        <v>6</v>
      </c>
      <c r="BR106" s="44">
        <f t="shared" si="176"/>
        <v>5</v>
      </c>
      <c r="BS106" s="44">
        <f t="shared" si="176"/>
        <v>4</v>
      </c>
      <c r="BT106" s="44">
        <f t="shared" si="176"/>
        <v>6</v>
      </c>
      <c r="BU106" s="44">
        <f t="shared" si="176"/>
        <v>6</v>
      </c>
      <c r="BV106" s="44">
        <f t="shared" si="176"/>
        <v>7</v>
      </c>
      <c r="BW106" s="44">
        <f t="shared" si="176"/>
        <v>5</v>
      </c>
      <c r="BX106" s="44">
        <f t="shared" si="176"/>
        <v>6</v>
      </c>
      <c r="BY106" s="44">
        <f t="shared" ref="BY106:BZ106" si="177">+COUNT(BY72:BY105)</f>
        <v>7</v>
      </c>
      <c r="BZ106" s="44">
        <f t="shared" si="177"/>
        <v>4</v>
      </c>
      <c r="CA106" s="44">
        <f t="shared" ref="CA106:CB106" si="178">+COUNT(CA72:CA105)</f>
        <v>8</v>
      </c>
      <c r="CB106" s="44">
        <f t="shared" si="178"/>
        <v>7</v>
      </c>
      <c r="CC106" s="44">
        <f t="shared" ref="CC106:CD106" si="179">+COUNT(CC72:CC105)</f>
        <v>6</v>
      </c>
      <c r="CD106" s="44">
        <f t="shared" si="179"/>
        <v>6</v>
      </c>
      <c r="CE106" s="44">
        <f>+COUNT(CE72:CE105)</f>
        <v>7</v>
      </c>
      <c r="CF106" s="44">
        <f>+COUNT(CF72:CF105)</f>
        <v>5</v>
      </c>
      <c r="CG106" s="44">
        <f t="shared" ref="CG106:CH106" si="180">+COUNT(CG72:CG105)</f>
        <v>4</v>
      </c>
      <c r="CH106" s="44">
        <f t="shared" si="180"/>
        <v>7</v>
      </c>
      <c r="CI106" s="44">
        <f t="shared" ref="CI106:CJ106" si="181">+COUNT(CI72:CI105)</f>
        <v>4</v>
      </c>
      <c r="CJ106" s="44">
        <f t="shared" si="181"/>
        <v>5</v>
      </c>
      <c r="CK106" s="44">
        <f t="shared" ref="CK106:CL106" si="182">+COUNT(CK72:CK105)</f>
        <v>8</v>
      </c>
      <c r="CL106" s="44">
        <f t="shared" si="182"/>
        <v>6</v>
      </c>
      <c r="CM106" s="44">
        <f t="shared" ref="CM106:CN106" si="183">+COUNT(CM72:CM105)</f>
        <v>5</v>
      </c>
      <c r="CN106" s="44">
        <f t="shared" si="183"/>
        <v>6</v>
      </c>
      <c r="CO106" s="44"/>
      <c r="CP106" s="23"/>
      <c r="CQ106" s="44"/>
      <c r="CR106" s="44"/>
      <c r="CS106" s="46"/>
      <c r="CT106" s="46"/>
      <c r="CU106" s="45"/>
      <c r="CV106" s="45"/>
      <c r="CW106" s="45"/>
      <c r="CX106" s="44"/>
    </row>
    <row r="107" spans="2:102" s="25" customFormat="1" ht="12.75" hidden="1" customHeight="1" outlineLevel="1" x14ac:dyDescent="0.2">
      <c r="B107" s="43"/>
      <c r="C107" s="43"/>
      <c r="D107" s="44"/>
      <c r="E107" s="44"/>
      <c r="F107" s="44"/>
      <c r="G107" s="44"/>
      <c r="H107" s="44"/>
      <c r="I107" s="44"/>
      <c r="J107" s="44"/>
      <c r="K107" s="44"/>
      <c r="L107" s="44"/>
      <c r="M107" s="44"/>
      <c r="N107" s="44"/>
      <c r="O107" s="44"/>
      <c r="P107" s="44"/>
      <c r="Q107" s="44"/>
      <c r="R107" s="44"/>
      <c r="S107" s="44"/>
      <c r="T107" s="44"/>
      <c r="U107" s="44"/>
      <c r="V107" s="44"/>
      <c r="W107" s="44"/>
      <c r="X107" s="44"/>
      <c r="Y107" s="44"/>
      <c r="Z107" s="44"/>
      <c r="AA107" s="44"/>
      <c r="AB107" s="44"/>
      <c r="AC107" s="44"/>
      <c r="AD107" s="44"/>
      <c r="AE107" s="44"/>
      <c r="AF107" s="44"/>
      <c r="AG107" s="44"/>
      <c r="AH107" s="44"/>
      <c r="AI107" s="44"/>
      <c r="AJ107" s="44"/>
      <c r="AK107" s="44"/>
      <c r="AL107" s="44"/>
      <c r="AM107" s="44"/>
      <c r="AN107" s="44"/>
      <c r="AO107" s="44"/>
      <c r="AP107" s="44"/>
      <c r="AQ107" s="44"/>
      <c r="AR107" s="44"/>
      <c r="AS107" s="44"/>
      <c r="AT107" s="44"/>
      <c r="AU107" s="44"/>
      <c r="AV107" s="44"/>
      <c r="AW107" s="44"/>
      <c r="AX107" s="44"/>
      <c r="AY107" s="44"/>
      <c r="AZ107" s="44"/>
      <c r="BA107" s="44"/>
      <c r="BB107" s="44"/>
      <c r="BC107" s="44"/>
      <c r="BD107" s="44"/>
      <c r="BE107" s="44"/>
      <c r="BF107" s="44"/>
      <c r="BG107" s="44"/>
      <c r="BH107" s="44"/>
      <c r="BI107" s="44"/>
      <c r="BJ107" s="44"/>
      <c r="BK107" s="44"/>
      <c r="BL107" s="44"/>
      <c r="BM107" s="44"/>
      <c r="BN107" s="44"/>
      <c r="BO107" s="44"/>
      <c r="BP107" s="44"/>
      <c r="BQ107" s="44"/>
      <c r="BR107" s="44"/>
      <c r="BS107" s="44"/>
      <c r="BT107" s="44"/>
      <c r="BU107" s="44"/>
      <c r="BV107" s="44"/>
      <c r="BW107" s="44"/>
      <c r="BX107" s="44"/>
      <c r="BY107" s="44"/>
      <c r="BZ107" s="44"/>
      <c r="CA107" s="44"/>
      <c r="CB107" s="44"/>
      <c r="CC107" s="44"/>
      <c r="CD107" s="44"/>
      <c r="CE107" s="44"/>
      <c r="CF107" s="44"/>
      <c r="CG107" s="44"/>
      <c r="CH107" s="44"/>
      <c r="CI107" s="44"/>
      <c r="CJ107" s="44"/>
      <c r="CK107" s="44"/>
      <c r="CL107" s="44"/>
      <c r="CM107" s="44"/>
      <c r="CN107" s="44"/>
      <c r="CO107" s="44"/>
      <c r="CP107" s="24"/>
      <c r="CQ107" s="44"/>
      <c r="CR107" s="44"/>
      <c r="CS107" s="46"/>
      <c r="CT107" s="46"/>
      <c r="CU107" s="44"/>
      <c r="CV107" s="44"/>
      <c r="CW107" s="44"/>
      <c r="CX107" s="44"/>
    </row>
    <row r="108" spans="2:102" s="51" customFormat="1" ht="12.75" hidden="1" customHeight="1" outlineLevel="1" x14ac:dyDescent="0.2">
      <c r="B108" s="48"/>
      <c r="C108" s="48" t="s">
        <v>21</v>
      </c>
      <c r="D108" s="49">
        <f>+SUM(D72:CQ105)</f>
        <v>0</v>
      </c>
      <c r="E108" s="50"/>
      <c r="F108" s="50"/>
      <c r="G108" s="50"/>
      <c r="H108" s="50"/>
      <c r="I108" s="50"/>
      <c r="J108" s="50"/>
      <c r="K108" s="50"/>
      <c r="L108" s="50"/>
      <c r="M108" s="50"/>
      <c r="N108" s="50"/>
      <c r="O108" s="50"/>
      <c r="P108" s="50"/>
      <c r="Q108" s="50"/>
      <c r="R108" s="50"/>
      <c r="S108" s="50"/>
      <c r="T108" s="50"/>
      <c r="U108" s="50"/>
      <c r="V108" s="50"/>
      <c r="W108" s="50"/>
      <c r="X108" s="50"/>
      <c r="Y108" s="50"/>
      <c r="Z108" s="50"/>
      <c r="AA108" s="50"/>
      <c r="AB108" s="50"/>
      <c r="AC108" s="50"/>
      <c r="AD108" s="50"/>
      <c r="AE108" s="50"/>
      <c r="AF108" s="50"/>
      <c r="AG108" s="50"/>
      <c r="AH108" s="50"/>
      <c r="AI108" s="50"/>
      <c r="AJ108" s="50"/>
      <c r="AK108" s="50"/>
      <c r="AL108" s="50"/>
      <c r="AM108" s="50"/>
      <c r="AN108" s="50"/>
      <c r="AO108" s="50"/>
      <c r="AP108" s="50"/>
      <c r="AQ108" s="50"/>
      <c r="AR108" s="50"/>
      <c r="AS108" s="50"/>
      <c r="AT108" s="50"/>
      <c r="AU108" s="50"/>
      <c r="AV108" s="50"/>
      <c r="AW108" s="50"/>
      <c r="AX108" s="50"/>
      <c r="AY108" s="50"/>
      <c r="AZ108" s="50"/>
      <c r="BA108" s="50"/>
      <c r="BB108" s="50"/>
      <c r="BC108" s="50"/>
      <c r="BD108" s="50"/>
      <c r="BE108" s="50"/>
      <c r="BF108" s="50"/>
      <c r="BG108" s="50"/>
      <c r="BH108" s="50"/>
      <c r="BI108" s="50"/>
      <c r="BJ108" s="50"/>
      <c r="BK108" s="50"/>
      <c r="BL108" s="50"/>
      <c r="BM108" s="50"/>
      <c r="BN108" s="50"/>
      <c r="BO108" s="50"/>
      <c r="BP108" s="50"/>
      <c r="BQ108" s="50"/>
      <c r="BR108" s="50"/>
      <c r="BS108" s="50"/>
      <c r="BT108" s="50"/>
      <c r="BU108" s="50"/>
      <c r="BV108" s="50"/>
      <c r="BW108" s="50"/>
      <c r="BX108" s="50"/>
      <c r="BY108" s="50"/>
      <c r="BZ108" s="50"/>
      <c r="CA108" s="50"/>
      <c r="CB108" s="50"/>
      <c r="CC108" s="50"/>
      <c r="CD108" s="50"/>
      <c r="CE108" s="50"/>
      <c r="CF108" s="50"/>
      <c r="CG108" s="50"/>
      <c r="CH108" s="50"/>
      <c r="CI108" s="50"/>
      <c r="CJ108" s="50"/>
      <c r="CK108" s="50"/>
      <c r="CL108" s="50"/>
      <c r="CM108" s="50"/>
      <c r="CN108" s="50"/>
      <c r="CO108" s="50"/>
      <c r="CP108" s="24"/>
      <c r="CQ108" s="50"/>
      <c r="CR108" s="50"/>
      <c r="CX108" s="50"/>
    </row>
    <row r="109" spans="2:102" s="20" customFormat="1" ht="12.75" customHeight="1" collapsed="1" x14ac:dyDescent="0.2">
      <c r="B109" s="52"/>
      <c r="C109" s="52"/>
      <c r="D109" s="53"/>
      <c r="E109" s="53"/>
      <c r="F109" s="53"/>
      <c r="G109" s="53"/>
      <c r="H109" s="53"/>
      <c r="I109" s="53"/>
      <c r="J109" s="53"/>
      <c r="K109" s="53"/>
      <c r="L109" s="53"/>
      <c r="M109" s="53"/>
      <c r="N109" s="53"/>
      <c r="O109" s="53"/>
      <c r="P109" s="53"/>
      <c r="Q109" s="53"/>
      <c r="R109" s="53"/>
      <c r="S109" s="53"/>
      <c r="T109" s="53"/>
      <c r="U109" s="53"/>
      <c r="V109" s="53"/>
      <c r="W109" s="53"/>
      <c r="X109" s="53"/>
      <c r="Y109" s="53"/>
      <c r="Z109" s="53"/>
      <c r="AA109" s="53"/>
      <c r="AB109" s="53"/>
      <c r="AC109" s="53"/>
      <c r="AD109" s="53"/>
      <c r="AE109" s="53"/>
      <c r="AF109" s="53"/>
      <c r="AG109" s="53"/>
      <c r="AH109" s="53"/>
      <c r="AI109" s="53"/>
      <c r="AJ109" s="53"/>
      <c r="AK109" s="53"/>
      <c r="AL109" s="53"/>
      <c r="AM109" s="53"/>
      <c r="AN109" s="53"/>
      <c r="AO109" s="53"/>
      <c r="AP109" s="53"/>
      <c r="AQ109" s="53"/>
      <c r="AR109" s="53"/>
      <c r="AS109" s="53"/>
      <c r="AT109" s="53"/>
      <c r="AU109" s="53"/>
      <c r="AV109" s="53"/>
      <c r="AW109" s="53"/>
      <c r="AX109" s="53"/>
      <c r="AY109" s="53"/>
      <c r="AZ109" s="53"/>
      <c r="BA109" s="53"/>
      <c r="BB109" s="53"/>
      <c r="BC109" s="53"/>
      <c r="BD109" s="53"/>
      <c r="BE109" s="53"/>
      <c r="BF109" s="53"/>
      <c r="BG109" s="53"/>
      <c r="BH109" s="53"/>
      <c r="BI109" s="53"/>
      <c r="BJ109" s="53"/>
      <c r="BK109" s="53"/>
      <c r="BL109" s="53"/>
      <c r="BM109" s="53"/>
      <c r="BN109" s="53"/>
      <c r="BO109" s="53"/>
      <c r="BP109" s="53"/>
      <c r="BQ109" s="53"/>
      <c r="BR109" s="53"/>
      <c r="BS109" s="53"/>
      <c r="BT109" s="53"/>
      <c r="BU109" s="53"/>
      <c r="BV109" s="53"/>
      <c r="BW109" s="53"/>
      <c r="BX109" s="53"/>
      <c r="BY109" s="53"/>
      <c r="BZ109" s="53"/>
      <c r="CA109" s="53"/>
      <c r="CB109" s="53"/>
      <c r="CC109" s="53"/>
      <c r="CD109" s="53"/>
      <c r="CE109" s="53"/>
      <c r="CF109" s="53"/>
      <c r="CG109" s="53"/>
      <c r="CH109" s="53"/>
      <c r="CI109" s="53"/>
      <c r="CJ109" s="53"/>
      <c r="CK109" s="53"/>
      <c r="CL109" s="53"/>
      <c r="CM109" s="53"/>
      <c r="CN109" s="53"/>
      <c r="CO109" s="53"/>
      <c r="CP109" s="54"/>
      <c r="CQ109" s="53"/>
    </row>
    <row r="110" spans="2:102" s="20" customFormat="1" ht="12.75" customHeight="1" x14ac:dyDescent="0.2">
      <c r="B110" s="17" t="s">
        <v>22</v>
      </c>
      <c r="C110" s="17"/>
      <c r="D110" s="18"/>
      <c r="E110" s="18"/>
      <c r="F110" s="18"/>
      <c r="G110" s="18"/>
      <c r="H110" s="18"/>
      <c r="I110" s="18"/>
      <c r="J110" s="18"/>
      <c r="K110" s="18"/>
      <c r="L110" s="18"/>
      <c r="M110" s="18"/>
      <c r="N110" s="18"/>
      <c r="O110" s="18"/>
      <c r="P110" s="18"/>
      <c r="Q110" s="18"/>
      <c r="R110" s="18"/>
      <c r="S110" s="18"/>
      <c r="T110" s="18"/>
      <c r="U110" s="18"/>
      <c r="V110" s="18"/>
      <c r="W110" s="18"/>
      <c r="X110" s="18"/>
      <c r="Y110" s="18"/>
      <c r="Z110" s="18"/>
      <c r="AA110" s="18"/>
      <c r="AB110" s="18"/>
      <c r="AC110" s="18"/>
      <c r="AD110" s="18"/>
      <c r="AE110" s="18"/>
      <c r="AF110" s="18"/>
      <c r="AG110" s="18"/>
      <c r="AH110" s="18"/>
      <c r="AI110" s="18"/>
      <c r="AJ110" s="18"/>
      <c r="AK110" s="18"/>
      <c r="AL110" s="18"/>
      <c r="AM110" s="18"/>
      <c r="AN110" s="18"/>
      <c r="AO110" s="18"/>
      <c r="AP110" s="18"/>
      <c r="AQ110" s="18"/>
      <c r="AR110" s="18"/>
      <c r="AS110" s="18"/>
      <c r="AT110" s="18"/>
      <c r="AU110" s="18"/>
      <c r="AV110" s="18"/>
      <c r="AW110" s="18"/>
      <c r="AX110" s="18"/>
      <c r="AY110" s="18"/>
      <c r="AZ110" s="18"/>
      <c r="BA110" s="18"/>
      <c r="BB110" s="18"/>
      <c r="BC110" s="18"/>
      <c r="BD110" s="18"/>
      <c r="BE110" s="18"/>
      <c r="BF110" s="18"/>
      <c r="BG110" s="18"/>
      <c r="BH110" s="18"/>
      <c r="BI110" s="18"/>
      <c r="BJ110" s="18"/>
      <c r="BK110" s="18"/>
      <c r="BL110" s="18"/>
      <c r="BM110" s="18"/>
      <c r="BN110" s="18"/>
      <c r="BO110" s="18"/>
      <c r="BP110" s="18"/>
      <c r="BQ110" s="18"/>
      <c r="BR110" s="18"/>
      <c r="BS110" s="18"/>
      <c r="BT110" s="18"/>
      <c r="BU110" s="18"/>
      <c r="BV110" s="18"/>
      <c r="BW110" s="18"/>
      <c r="BX110" s="18"/>
      <c r="BY110" s="18"/>
      <c r="BZ110" s="18"/>
      <c r="CA110" s="18"/>
      <c r="CB110" s="18"/>
      <c r="CC110" s="18"/>
      <c r="CD110" s="18"/>
      <c r="CE110" s="18"/>
      <c r="CF110" s="18"/>
      <c r="CG110" s="18"/>
      <c r="CH110" s="18"/>
      <c r="CI110" s="18"/>
      <c r="CJ110" s="18"/>
      <c r="CK110" s="18"/>
      <c r="CL110" s="18"/>
      <c r="CM110" s="18"/>
      <c r="CN110" s="18"/>
      <c r="CO110" s="18"/>
      <c r="CP110" s="18"/>
      <c r="CQ110" s="19"/>
      <c r="CR110" s="19"/>
      <c r="CS110" s="19"/>
      <c r="CT110" s="19"/>
      <c r="CU110" s="19"/>
      <c r="CV110" s="19"/>
      <c r="CW110" s="19"/>
      <c r="CX110" s="19"/>
    </row>
    <row r="111" spans="2:102" ht="12.75" hidden="1" customHeight="1" outlineLevel="1" x14ac:dyDescent="0.2"/>
    <row r="112" spans="2:102" s="81" customFormat="1" ht="25.5" hidden="1" customHeight="1" outlineLevel="1" x14ac:dyDescent="0.2">
      <c r="B112" s="68"/>
      <c r="C112" s="68"/>
      <c r="D112" s="70"/>
      <c r="E112" s="70"/>
      <c r="F112" s="70"/>
      <c r="G112" s="70"/>
      <c r="H112" s="70"/>
      <c r="I112" s="70"/>
      <c r="J112" s="70"/>
      <c r="K112" s="70"/>
      <c r="L112" s="70"/>
      <c r="M112" s="70"/>
      <c r="N112" s="70"/>
      <c r="O112" s="70"/>
      <c r="P112" s="70"/>
      <c r="Q112" s="70"/>
      <c r="R112" s="70"/>
      <c r="S112" s="70"/>
      <c r="T112" s="70"/>
      <c r="U112" s="70"/>
      <c r="V112" s="70"/>
      <c r="W112" s="70"/>
      <c r="X112" s="70"/>
      <c r="Y112" s="70"/>
      <c r="Z112" s="70"/>
      <c r="AA112" s="70"/>
      <c r="AB112" s="70"/>
      <c r="AC112" s="70"/>
      <c r="AD112" s="70"/>
      <c r="AE112" s="70"/>
      <c r="AF112" s="70"/>
      <c r="AG112" s="70"/>
      <c r="AH112" s="70"/>
      <c r="AI112" s="70"/>
      <c r="AJ112" s="70"/>
      <c r="AK112" s="70"/>
      <c r="AL112" s="70"/>
      <c r="AM112" s="70"/>
      <c r="AN112" s="70"/>
      <c r="AO112" s="70"/>
      <c r="AP112" s="70"/>
      <c r="AQ112" s="70"/>
      <c r="AR112" s="70"/>
      <c r="AS112" s="70"/>
      <c r="AT112" s="70"/>
      <c r="AU112" s="70"/>
      <c r="AV112" s="70"/>
      <c r="AW112" s="70"/>
      <c r="AX112" s="70"/>
      <c r="AY112" s="70"/>
      <c r="AZ112" s="70"/>
      <c r="BA112" s="70"/>
      <c r="BB112" s="70"/>
      <c r="BC112" s="70"/>
      <c r="BD112" s="70"/>
      <c r="BE112" s="70"/>
      <c r="BF112" s="70"/>
      <c r="BG112" s="70"/>
      <c r="BH112" s="70"/>
      <c r="BI112" s="70"/>
      <c r="BJ112" s="70"/>
      <c r="BK112" s="70"/>
      <c r="BL112" s="70"/>
      <c r="BM112" s="70"/>
      <c r="BN112" s="70"/>
      <c r="BO112" s="70"/>
      <c r="BP112" s="70"/>
      <c r="BQ112" s="70"/>
      <c r="BR112" s="70"/>
      <c r="BS112" s="70"/>
      <c r="BT112" s="70"/>
      <c r="BU112" s="70"/>
      <c r="BV112" s="70"/>
      <c r="BW112" s="70"/>
      <c r="BX112" s="70"/>
      <c r="BY112" s="70"/>
      <c r="BZ112" s="70"/>
      <c r="CA112" s="70"/>
      <c r="CB112" s="70"/>
      <c r="CC112" s="70"/>
      <c r="CD112" s="70"/>
      <c r="CE112" s="70"/>
      <c r="CF112" s="70"/>
      <c r="CG112" s="70"/>
      <c r="CH112" s="70"/>
      <c r="CI112" s="70"/>
      <c r="CJ112" s="70"/>
      <c r="CK112" s="70"/>
      <c r="CL112" s="70"/>
      <c r="CM112" s="70"/>
      <c r="CN112" s="70"/>
      <c r="CO112" s="80"/>
      <c r="CP112" s="71" t="s">
        <v>22</v>
      </c>
      <c r="CQ112" s="80"/>
    </row>
    <row r="113" spans="2:95" ht="12.75" hidden="1" customHeight="1" outlineLevel="1" x14ac:dyDescent="0.2">
      <c r="B113" s="26"/>
      <c r="C113" s="26" t="str">
        <f>+C152</f>
        <v>Amos Aaltio</v>
      </c>
      <c r="D113" s="55"/>
      <c r="E113" s="55"/>
      <c r="F113" s="55">
        <v>80</v>
      </c>
      <c r="G113" s="55"/>
      <c r="H113" s="55">
        <v>60</v>
      </c>
      <c r="I113" s="55"/>
      <c r="J113" s="55"/>
      <c r="K113" s="55"/>
      <c r="L113" s="55">
        <v>75</v>
      </c>
      <c r="M113" s="55"/>
      <c r="N113" s="55"/>
      <c r="O113" s="55">
        <v>75</v>
      </c>
      <c r="P113" s="55"/>
      <c r="Q113" s="55"/>
      <c r="R113" s="55"/>
      <c r="S113" s="55"/>
      <c r="T113" s="55">
        <v>135</v>
      </c>
      <c r="U113" s="55"/>
      <c r="V113" s="55"/>
      <c r="W113" s="55"/>
      <c r="X113" s="55"/>
      <c r="Y113" s="55"/>
      <c r="Z113" s="55"/>
      <c r="AA113" s="55"/>
      <c r="AB113" s="55"/>
      <c r="AC113" s="55">
        <v>75</v>
      </c>
      <c r="AD113" s="55"/>
      <c r="AE113" s="55"/>
      <c r="AF113" s="55">
        <v>105</v>
      </c>
      <c r="AG113" s="55"/>
      <c r="AH113" s="55"/>
      <c r="AI113" s="55">
        <v>45</v>
      </c>
      <c r="AJ113" s="55"/>
      <c r="AK113" s="55">
        <v>70</v>
      </c>
      <c r="AL113" s="55"/>
      <c r="AM113" s="55">
        <v>75</v>
      </c>
      <c r="AN113" s="55"/>
      <c r="AO113" s="55"/>
      <c r="AP113" s="55">
        <v>105</v>
      </c>
      <c r="AQ113" s="55"/>
      <c r="AR113" s="55"/>
      <c r="AS113" s="55">
        <v>113.625</v>
      </c>
      <c r="AT113" s="55"/>
      <c r="AU113" s="55"/>
      <c r="AV113" s="55">
        <v>180</v>
      </c>
      <c r="AW113" s="55"/>
      <c r="AX113" s="55">
        <v>90</v>
      </c>
      <c r="AY113" s="55"/>
      <c r="AZ113" s="55"/>
      <c r="BA113" s="55"/>
      <c r="BB113" s="55"/>
      <c r="BC113" s="55">
        <v>120</v>
      </c>
      <c r="BD113" s="55"/>
      <c r="BE113" s="55"/>
      <c r="BF113" s="55"/>
      <c r="BG113" s="55"/>
      <c r="BH113" s="55"/>
      <c r="BI113" s="55"/>
      <c r="BJ113" s="55"/>
      <c r="BK113" s="55"/>
      <c r="BL113" s="55">
        <v>45</v>
      </c>
      <c r="BM113" s="55"/>
      <c r="BN113" s="55">
        <v>100</v>
      </c>
      <c r="BO113" s="55"/>
      <c r="BP113" s="55"/>
      <c r="BQ113" s="55">
        <v>180</v>
      </c>
      <c r="BR113" s="55"/>
      <c r="BS113" s="55"/>
      <c r="BT113" s="55"/>
      <c r="BU113" s="55"/>
      <c r="BV113" s="55"/>
      <c r="BW113" s="55"/>
      <c r="BX113" s="55"/>
      <c r="BY113" s="55">
        <v>55</v>
      </c>
      <c r="BZ113" s="55"/>
      <c r="CA113" s="55">
        <v>27</v>
      </c>
      <c r="CB113" s="55"/>
      <c r="CC113" s="55"/>
      <c r="CD113" s="55">
        <v>176</v>
      </c>
      <c r="CE113" s="55"/>
      <c r="CF113" s="55"/>
      <c r="CG113" s="55"/>
      <c r="CH113" s="55"/>
      <c r="CI113" s="55"/>
      <c r="CJ113" s="55"/>
      <c r="CK113" s="55">
        <v>68.75</v>
      </c>
      <c r="CL113" s="55"/>
      <c r="CM113" s="55"/>
      <c r="CN113" s="55"/>
      <c r="CO113" s="28"/>
      <c r="CP113" s="29">
        <f>+SUM(D113:CO113)</f>
        <v>2055.375</v>
      </c>
      <c r="CQ113" s="42"/>
    </row>
    <row r="114" spans="2:95" ht="12.75" hidden="1" customHeight="1" outlineLevel="1" x14ac:dyDescent="0.2">
      <c r="B114" s="33"/>
      <c r="C114" s="33" t="str">
        <f>+C153</f>
        <v>Atte Rouhe</v>
      </c>
      <c r="D114" s="56"/>
      <c r="E114" s="56"/>
      <c r="F114" s="56"/>
      <c r="G114" s="56"/>
      <c r="H114" s="56"/>
      <c r="I114" s="56"/>
      <c r="J114" s="56"/>
      <c r="K114" s="56"/>
      <c r="L114" s="56"/>
      <c r="M114" s="56"/>
      <c r="N114" s="56"/>
      <c r="O114" s="56"/>
      <c r="P114" s="56"/>
      <c r="Q114" s="56"/>
      <c r="R114" s="56"/>
      <c r="S114" s="56">
        <v>99.77000000000001</v>
      </c>
      <c r="T114" s="56"/>
      <c r="U114" s="56"/>
      <c r="V114" s="56"/>
      <c r="W114" s="56"/>
      <c r="X114" s="56"/>
      <c r="Y114" s="56"/>
      <c r="Z114" s="56"/>
      <c r="AA114" s="56"/>
      <c r="AB114" s="56"/>
      <c r="AC114" s="56"/>
      <c r="AD114" s="56"/>
      <c r="AE114" s="56"/>
      <c r="AF114" s="56"/>
      <c r="AG114" s="56"/>
      <c r="AH114" s="56"/>
      <c r="AI114" s="56"/>
      <c r="AJ114" s="56"/>
      <c r="AK114" s="56"/>
      <c r="AL114" s="56"/>
      <c r="AM114" s="56"/>
      <c r="AN114" s="56"/>
      <c r="AO114" s="56"/>
      <c r="AP114" s="56"/>
      <c r="AQ114" s="56"/>
      <c r="AR114" s="56"/>
      <c r="AS114" s="56"/>
      <c r="AT114" s="56"/>
      <c r="AU114" s="56"/>
      <c r="AV114" s="56"/>
      <c r="AW114" s="56"/>
      <c r="AX114" s="56"/>
      <c r="AY114" s="56"/>
      <c r="AZ114" s="56"/>
      <c r="BA114" s="56"/>
      <c r="BB114" s="56"/>
      <c r="BC114" s="56"/>
      <c r="BD114" s="56"/>
      <c r="BE114" s="56">
        <v>40</v>
      </c>
      <c r="BF114" s="56"/>
      <c r="BG114" s="56"/>
      <c r="BH114" s="56"/>
      <c r="BI114" s="56"/>
      <c r="BJ114" s="56"/>
      <c r="BK114" s="56"/>
      <c r="BL114" s="56"/>
      <c r="BM114" s="56"/>
      <c r="BN114" s="56"/>
      <c r="BO114" s="56"/>
      <c r="BP114" s="56"/>
      <c r="BQ114" s="56"/>
      <c r="BR114" s="56"/>
      <c r="BS114" s="56"/>
      <c r="BT114" s="56"/>
      <c r="BU114" s="56"/>
      <c r="BV114" s="56"/>
      <c r="BW114" s="56"/>
      <c r="BX114" s="56"/>
      <c r="BY114" s="56"/>
      <c r="BZ114" s="56"/>
      <c r="CA114" s="56"/>
      <c r="CB114" s="56"/>
      <c r="CC114" s="56"/>
      <c r="CD114" s="56"/>
      <c r="CE114" s="56"/>
      <c r="CF114" s="56"/>
      <c r="CG114" s="56"/>
      <c r="CH114" s="56"/>
      <c r="CI114" s="56"/>
      <c r="CJ114" s="56"/>
      <c r="CK114" s="56"/>
      <c r="CL114" s="56"/>
      <c r="CM114" s="56"/>
      <c r="CN114" s="56"/>
      <c r="CO114" s="35"/>
      <c r="CP114" s="36">
        <f>+SUM(D114:CO114)</f>
        <v>139.77000000000001</v>
      </c>
      <c r="CQ114" s="42"/>
    </row>
    <row r="115" spans="2:95" ht="12.75" hidden="1" customHeight="1" outlineLevel="1" x14ac:dyDescent="0.2">
      <c r="B115" s="40"/>
      <c r="C115" s="40" t="str">
        <f>+C154</f>
        <v>Juho Korhonen</v>
      </c>
      <c r="D115" s="57"/>
      <c r="E115" s="57">
        <v>80</v>
      </c>
      <c r="F115" s="57"/>
      <c r="G115" s="57"/>
      <c r="H115" s="57"/>
      <c r="I115" s="57"/>
      <c r="J115" s="57">
        <v>90</v>
      </c>
      <c r="K115" s="57"/>
      <c r="L115" s="57"/>
      <c r="M115" s="57"/>
      <c r="N115" s="57"/>
      <c r="O115" s="57"/>
      <c r="P115" s="57"/>
      <c r="Q115" s="57"/>
      <c r="R115" s="57">
        <v>90</v>
      </c>
      <c r="S115" s="57"/>
      <c r="T115" s="57"/>
      <c r="U115" s="57"/>
      <c r="V115" s="57"/>
      <c r="W115" s="57"/>
      <c r="X115" s="57"/>
      <c r="Y115" s="57"/>
      <c r="Z115" s="57"/>
      <c r="AA115" s="57"/>
      <c r="AB115" s="57"/>
      <c r="AC115" s="57"/>
      <c r="AD115" s="57">
        <v>90</v>
      </c>
      <c r="AE115" s="57">
        <v>140</v>
      </c>
      <c r="AF115" s="57"/>
      <c r="AG115" s="57">
        <v>60</v>
      </c>
      <c r="AH115" s="57"/>
      <c r="AI115" s="57"/>
      <c r="AJ115" s="57"/>
      <c r="AK115" s="57"/>
      <c r="AL115" s="57"/>
      <c r="AM115" s="57"/>
      <c r="AN115" s="57"/>
      <c r="AO115" s="57"/>
      <c r="AP115" s="57"/>
      <c r="AQ115" s="57"/>
      <c r="AR115" s="57"/>
      <c r="AS115" s="57"/>
      <c r="AT115" s="57"/>
      <c r="AU115" s="57"/>
      <c r="AV115" s="57"/>
      <c r="AW115" s="57">
        <v>24</v>
      </c>
      <c r="AX115" s="57"/>
      <c r="AY115" s="57"/>
      <c r="AZ115" s="57"/>
      <c r="BA115" s="57"/>
      <c r="BB115" s="57"/>
      <c r="BC115" s="57"/>
      <c r="BD115" s="57"/>
      <c r="BE115" s="57"/>
      <c r="BF115" s="57"/>
      <c r="BG115" s="57"/>
      <c r="BH115" s="57"/>
      <c r="BI115" s="57">
        <v>100</v>
      </c>
      <c r="BJ115" s="57"/>
      <c r="BK115" s="57"/>
      <c r="BL115" s="57"/>
      <c r="BM115" s="57"/>
      <c r="BN115" s="57"/>
      <c r="BO115" s="57"/>
      <c r="BP115" s="57"/>
      <c r="BQ115" s="57"/>
      <c r="BR115" s="57">
        <v>180</v>
      </c>
      <c r="BS115" s="57"/>
      <c r="BT115" s="57"/>
      <c r="BU115" s="57"/>
      <c r="BV115" s="57"/>
      <c r="BW115" s="57"/>
      <c r="BX115" s="57"/>
      <c r="BY115" s="57"/>
      <c r="BZ115" s="57"/>
      <c r="CA115" s="57"/>
      <c r="CB115" s="57"/>
      <c r="CC115" s="57"/>
      <c r="CD115" s="57"/>
      <c r="CE115" s="57"/>
      <c r="CF115" s="57"/>
      <c r="CG115" s="57"/>
      <c r="CH115" s="57"/>
      <c r="CI115" s="57"/>
      <c r="CJ115" s="57"/>
      <c r="CK115" s="57"/>
      <c r="CL115" s="57"/>
      <c r="CM115" s="57"/>
      <c r="CN115" s="57"/>
      <c r="CO115" s="42"/>
      <c r="CP115" s="29">
        <f>+SUM(D115:CO115)</f>
        <v>854</v>
      </c>
      <c r="CQ115" s="42"/>
    </row>
    <row r="116" spans="2:95" ht="12.75" hidden="1" customHeight="1" outlineLevel="1" x14ac:dyDescent="0.2">
      <c r="B116" s="33"/>
      <c r="C116" s="33" t="str">
        <f>+C155</f>
        <v>Roope Rättö</v>
      </c>
      <c r="D116" s="56"/>
      <c r="E116" s="56"/>
      <c r="F116" s="56"/>
      <c r="G116" s="56">
        <v>50</v>
      </c>
      <c r="H116" s="56"/>
      <c r="I116" s="56">
        <v>60</v>
      </c>
      <c r="J116" s="56"/>
      <c r="K116" s="56">
        <v>100</v>
      </c>
      <c r="L116" s="56"/>
      <c r="M116" s="56">
        <v>75</v>
      </c>
      <c r="N116" s="56"/>
      <c r="O116" s="56"/>
      <c r="P116" s="56"/>
      <c r="Q116" s="56"/>
      <c r="R116" s="56"/>
      <c r="S116" s="56"/>
      <c r="T116" s="56"/>
      <c r="U116" s="56">
        <v>90</v>
      </c>
      <c r="V116" s="56"/>
      <c r="W116" s="56"/>
      <c r="X116" s="56"/>
      <c r="Y116" s="56"/>
      <c r="Z116" s="56"/>
      <c r="AA116" s="56"/>
      <c r="AB116" s="56"/>
      <c r="AC116" s="56"/>
      <c r="AD116" s="56"/>
      <c r="AE116" s="56"/>
      <c r="AF116" s="56"/>
      <c r="AG116" s="56"/>
      <c r="AH116" s="56"/>
      <c r="AI116" s="56"/>
      <c r="AJ116" s="56"/>
      <c r="AK116" s="56"/>
      <c r="AL116" s="56"/>
      <c r="AM116" s="56"/>
      <c r="AN116" s="56"/>
      <c r="AO116" s="56"/>
      <c r="AP116" s="56"/>
      <c r="AQ116" s="56"/>
      <c r="AR116" s="56"/>
      <c r="AS116" s="56"/>
      <c r="AT116" s="56"/>
      <c r="AU116" s="56"/>
      <c r="AV116" s="56"/>
      <c r="AW116" s="56"/>
      <c r="AX116" s="56"/>
      <c r="AY116" s="56">
        <v>60</v>
      </c>
      <c r="AZ116" s="56"/>
      <c r="BA116" s="56"/>
      <c r="BB116" s="56"/>
      <c r="BC116" s="56"/>
      <c r="BD116" s="56"/>
      <c r="BE116" s="56"/>
      <c r="BF116" s="56"/>
      <c r="BG116" s="56"/>
      <c r="BH116" s="56"/>
      <c r="BI116" s="56"/>
      <c r="BJ116" s="56"/>
      <c r="BK116" s="56"/>
      <c r="BL116" s="56"/>
      <c r="BM116" s="56"/>
      <c r="BN116" s="56"/>
      <c r="BO116" s="56"/>
      <c r="BP116" s="56"/>
      <c r="BQ116" s="56"/>
      <c r="BR116" s="56"/>
      <c r="BS116" s="56"/>
      <c r="BT116" s="56"/>
      <c r="BU116" s="56"/>
      <c r="BV116" s="56"/>
      <c r="BW116" s="56"/>
      <c r="BX116" s="56"/>
      <c r="BY116" s="56"/>
      <c r="BZ116" s="56"/>
      <c r="CA116" s="56"/>
      <c r="CB116" s="56"/>
      <c r="CC116" s="56"/>
      <c r="CD116" s="56"/>
      <c r="CE116" s="56"/>
      <c r="CF116" s="56"/>
      <c r="CG116" s="56"/>
      <c r="CH116" s="56"/>
      <c r="CI116" s="56"/>
      <c r="CJ116" s="56"/>
      <c r="CK116" s="56"/>
      <c r="CL116" s="56"/>
      <c r="CM116" s="56"/>
      <c r="CN116" s="56"/>
      <c r="CO116" s="35"/>
      <c r="CP116" s="36">
        <f>+SUM(D116:CO116)</f>
        <v>435</v>
      </c>
      <c r="CQ116" s="42"/>
    </row>
    <row r="117" spans="2:95" ht="12.75" hidden="1" customHeight="1" outlineLevel="1" x14ac:dyDescent="0.2">
      <c r="B117" s="40"/>
      <c r="C117" s="40" t="str">
        <f>+C156</f>
        <v>Joonas Rasa</v>
      </c>
      <c r="D117" s="57">
        <v>50</v>
      </c>
      <c r="E117" s="57"/>
      <c r="F117" s="57"/>
      <c r="G117" s="57"/>
      <c r="H117" s="57"/>
      <c r="I117" s="57"/>
      <c r="J117" s="57"/>
      <c r="K117" s="57"/>
      <c r="L117" s="57"/>
      <c r="M117" s="57"/>
      <c r="N117" s="57"/>
      <c r="O117" s="57"/>
      <c r="P117" s="57"/>
      <c r="Q117" s="57">
        <v>120</v>
      </c>
      <c r="R117" s="57"/>
      <c r="S117" s="57"/>
      <c r="T117" s="57"/>
      <c r="U117" s="57"/>
      <c r="V117" s="57"/>
      <c r="W117" s="57">
        <v>120</v>
      </c>
      <c r="X117" s="57"/>
      <c r="Y117" s="57"/>
      <c r="Z117" s="57"/>
      <c r="AA117" s="57"/>
      <c r="AB117" s="57"/>
      <c r="AC117" s="57"/>
      <c r="AD117" s="57"/>
      <c r="AE117" s="57"/>
      <c r="AF117" s="57"/>
      <c r="AG117" s="57"/>
      <c r="AH117" s="57"/>
      <c r="AI117" s="57">
        <v>90</v>
      </c>
      <c r="AJ117" s="57"/>
      <c r="AK117" s="57"/>
      <c r="AL117" s="57"/>
      <c r="AM117" s="57"/>
      <c r="AN117" s="57"/>
      <c r="AO117" s="57"/>
      <c r="AP117" s="57"/>
      <c r="AQ117" s="57"/>
      <c r="AR117" s="57"/>
      <c r="AS117" s="57"/>
      <c r="AT117" s="57"/>
      <c r="AU117" s="57"/>
      <c r="AV117" s="57"/>
      <c r="AW117" s="57"/>
      <c r="AX117" s="57"/>
      <c r="AY117" s="57"/>
      <c r="AZ117" s="57"/>
      <c r="BA117" s="57"/>
      <c r="BB117" s="57">
        <v>28</v>
      </c>
      <c r="BC117" s="57"/>
      <c r="BD117" s="57"/>
      <c r="BE117" s="57"/>
      <c r="BF117" s="57"/>
      <c r="BG117" s="57"/>
      <c r="BH117" s="57"/>
      <c r="BI117" s="57"/>
      <c r="BJ117" s="57">
        <v>140</v>
      </c>
      <c r="BK117" s="57"/>
      <c r="BL117" s="57"/>
      <c r="BM117" s="57"/>
      <c r="BN117" s="57"/>
      <c r="BO117" s="57"/>
      <c r="BP117" s="57">
        <v>276</v>
      </c>
      <c r="BQ117" s="57"/>
      <c r="BR117" s="57"/>
      <c r="BS117" s="57">
        <v>104.87</v>
      </c>
      <c r="BT117" s="57">
        <v>40</v>
      </c>
      <c r="BU117" s="57"/>
      <c r="BV117" s="57"/>
      <c r="BW117" s="57"/>
      <c r="BX117" s="57"/>
      <c r="BY117" s="57"/>
      <c r="BZ117" s="57"/>
      <c r="CA117" s="57"/>
      <c r="CB117" s="57"/>
      <c r="CC117" s="57"/>
      <c r="CD117" s="57"/>
      <c r="CE117" s="57"/>
      <c r="CF117" s="57"/>
      <c r="CG117" s="57"/>
      <c r="CH117" s="57">
        <v>78</v>
      </c>
      <c r="CI117" s="57">
        <v>180</v>
      </c>
      <c r="CJ117" s="57"/>
      <c r="CK117" s="57"/>
      <c r="CL117" s="57"/>
      <c r="CM117" s="57"/>
      <c r="CN117" s="57"/>
      <c r="CO117" s="42"/>
      <c r="CP117" s="29">
        <f>+SUM(D117:CO117)</f>
        <v>1226.8699999999999</v>
      </c>
      <c r="CQ117" s="42"/>
    </row>
    <row r="118" spans="2:95" ht="12.75" hidden="1" customHeight="1" outlineLevel="1" x14ac:dyDescent="0.2">
      <c r="B118" s="33"/>
      <c r="C118" s="33" t="str">
        <f>+C157</f>
        <v>Lalli Nurmi</v>
      </c>
      <c r="D118" s="56"/>
      <c r="E118" s="56"/>
      <c r="F118" s="56"/>
      <c r="G118" s="56"/>
      <c r="H118" s="56"/>
      <c r="I118" s="56"/>
      <c r="J118" s="56"/>
      <c r="K118" s="56"/>
      <c r="L118" s="56"/>
      <c r="M118" s="56"/>
      <c r="N118" s="56"/>
      <c r="O118" s="56"/>
      <c r="P118" s="56"/>
      <c r="Q118" s="56"/>
      <c r="R118" s="56"/>
      <c r="S118" s="56"/>
      <c r="T118" s="56"/>
      <c r="U118" s="56"/>
      <c r="V118" s="56"/>
      <c r="W118" s="56"/>
      <c r="X118" s="56"/>
      <c r="Y118" s="56"/>
      <c r="Z118" s="56"/>
      <c r="AA118" s="56">
        <v>100</v>
      </c>
      <c r="AB118" s="56"/>
      <c r="AC118" s="56"/>
      <c r="AD118" s="56"/>
      <c r="AE118" s="56"/>
      <c r="AF118" s="56"/>
      <c r="AG118" s="56"/>
      <c r="AH118" s="56">
        <v>90</v>
      </c>
      <c r="AI118" s="56"/>
      <c r="AJ118" s="56">
        <v>150</v>
      </c>
      <c r="AK118" s="56"/>
      <c r="AL118" s="56"/>
      <c r="AM118" s="56"/>
      <c r="AN118" s="56"/>
      <c r="AO118" s="56"/>
      <c r="AP118" s="56"/>
      <c r="AQ118" s="56">
        <v>120</v>
      </c>
      <c r="AR118" s="56">
        <v>75</v>
      </c>
      <c r="AS118" s="56"/>
      <c r="AT118" s="56"/>
      <c r="AU118" s="56"/>
      <c r="AV118" s="56"/>
      <c r="AW118" s="56">
        <f>180-24</f>
        <v>156</v>
      </c>
      <c r="AX118" s="56"/>
      <c r="AY118" s="56"/>
      <c r="AZ118" s="56"/>
      <c r="BA118" s="56"/>
      <c r="BB118" s="56"/>
      <c r="BC118" s="56"/>
      <c r="BD118" s="56"/>
      <c r="BE118" s="56"/>
      <c r="BF118" s="56">
        <v>60</v>
      </c>
      <c r="BG118" s="56"/>
      <c r="BH118" s="56">
        <v>200</v>
      </c>
      <c r="BI118" s="56"/>
      <c r="BJ118" s="56"/>
      <c r="BK118" s="56"/>
      <c r="BL118" s="56"/>
      <c r="BM118" s="56">
        <v>140</v>
      </c>
      <c r="BN118" s="56"/>
      <c r="BO118" s="56"/>
      <c r="BP118" s="56"/>
      <c r="BQ118" s="56"/>
      <c r="BR118" s="56"/>
      <c r="BS118" s="56"/>
      <c r="BT118" s="56"/>
      <c r="BU118" s="56"/>
      <c r="BV118" s="56"/>
      <c r="BW118" s="56"/>
      <c r="BX118" s="56"/>
      <c r="BY118" s="56">
        <v>220</v>
      </c>
      <c r="BZ118" s="56"/>
      <c r="CA118" s="56"/>
      <c r="CB118" s="56"/>
      <c r="CC118" s="56"/>
      <c r="CD118" s="56"/>
      <c r="CE118" s="56"/>
      <c r="CF118" s="56">
        <v>175</v>
      </c>
      <c r="CG118" s="56"/>
      <c r="CH118" s="56"/>
      <c r="CI118" s="56"/>
      <c r="CJ118" s="56"/>
      <c r="CK118" s="56">
        <v>206.25</v>
      </c>
      <c r="CL118" s="56"/>
      <c r="CM118" s="56"/>
      <c r="CN118" s="56"/>
      <c r="CO118" s="35"/>
      <c r="CP118" s="36">
        <f>+SUM(D118:CO118)</f>
        <v>1692.25</v>
      </c>
      <c r="CQ118" s="42"/>
    </row>
    <row r="119" spans="2:95" ht="12.75" hidden="1" customHeight="1" outlineLevel="1" x14ac:dyDescent="0.2">
      <c r="B119" s="40"/>
      <c r="C119" s="40" t="str">
        <f>+C158</f>
        <v>Valtteri Kämäräinen</v>
      </c>
      <c r="D119" s="57"/>
      <c r="E119" s="57"/>
      <c r="F119" s="57"/>
      <c r="G119" s="57"/>
      <c r="H119" s="57"/>
      <c r="I119" s="57"/>
      <c r="J119" s="57"/>
      <c r="K119" s="57"/>
      <c r="L119" s="57"/>
      <c r="M119" s="57"/>
      <c r="N119" s="57"/>
      <c r="O119" s="57"/>
      <c r="P119" s="57"/>
      <c r="Q119" s="57"/>
      <c r="R119" s="57"/>
      <c r="S119" s="57"/>
      <c r="T119" s="57"/>
      <c r="U119" s="57"/>
      <c r="V119" s="57"/>
      <c r="W119" s="57"/>
      <c r="X119" s="57"/>
      <c r="Y119" s="57"/>
      <c r="Z119" s="57"/>
      <c r="AA119" s="57"/>
      <c r="AB119" s="57"/>
      <c r="AC119" s="57"/>
      <c r="AD119" s="57"/>
      <c r="AE119" s="57"/>
      <c r="AF119" s="57"/>
      <c r="AG119" s="57"/>
      <c r="AH119" s="57"/>
      <c r="AI119" s="57"/>
      <c r="AJ119" s="57"/>
      <c r="AK119" s="57"/>
      <c r="AL119" s="57"/>
      <c r="AM119" s="57"/>
      <c r="AN119" s="57"/>
      <c r="AO119" s="57"/>
      <c r="AP119" s="57"/>
      <c r="AQ119" s="57"/>
      <c r="AR119" s="57"/>
      <c r="AS119" s="57"/>
      <c r="AT119" s="57"/>
      <c r="AU119" s="57"/>
      <c r="AV119" s="57"/>
      <c r="AW119" s="57"/>
      <c r="AX119" s="57"/>
      <c r="AY119" s="57"/>
      <c r="AZ119" s="57">
        <v>240</v>
      </c>
      <c r="BA119" s="57"/>
      <c r="BB119" s="57"/>
      <c r="BC119" s="57"/>
      <c r="BD119" s="57"/>
      <c r="BE119" s="57"/>
      <c r="BF119" s="57"/>
      <c r="BG119" s="57"/>
      <c r="BH119" s="57"/>
      <c r="BI119" s="57"/>
      <c r="BJ119" s="57"/>
      <c r="BK119" s="57"/>
      <c r="BL119" s="57"/>
      <c r="BM119" s="57"/>
      <c r="BN119" s="57"/>
      <c r="BO119" s="57"/>
      <c r="BP119" s="57"/>
      <c r="BQ119" s="57"/>
      <c r="BR119" s="57"/>
      <c r="BS119" s="57"/>
      <c r="BT119" s="57"/>
      <c r="BU119" s="57"/>
      <c r="BV119" s="57"/>
      <c r="BW119" s="57"/>
      <c r="BX119" s="57"/>
      <c r="BY119" s="57"/>
      <c r="BZ119" s="57"/>
      <c r="CA119" s="57"/>
      <c r="CB119" s="57"/>
      <c r="CC119" s="57"/>
      <c r="CD119" s="57"/>
      <c r="CE119" s="57"/>
      <c r="CF119" s="57"/>
      <c r="CG119" s="57"/>
      <c r="CH119" s="57">
        <v>282</v>
      </c>
      <c r="CI119" s="57"/>
      <c r="CJ119" s="57"/>
      <c r="CK119" s="57"/>
      <c r="CL119" s="57">
        <v>90</v>
      </c>
      <c r="CM119" s="57"/>
      <c r="CN119" s="57"/>
      <c r="CO119" s="42"/>
      <c r="CP119" s="29">
        <f>+SUM(D119:CO119)</f>
        <v>612</v>
      </c>
      <c r="CQ119" s="42"/>
    </row>
    <row r="120" spans="2:95" ht="12.75" hidden="1" customHeight="1" outlineLevel="1" x14ac:dyDescent="0.2">
      <c r="B120" s="33"/>
      <c r="C120" s="33" t="str">
        <f>+C159</f>
        <v>Kalle Armanto</v>
      </c>
      <c r="D120" s="56"/>
      <c r="E120" s="56"/>
      <c r="F120" s="56"/>
      <c r="G120" s="56"/>
      <c r="H120" s="56"/>
      <c r="I120" s="56"/>
      <c r="J120" s="56"/>
      <c r="K120" s="56"/>
      <c r="L120" s="56"/>
      <c r="M120" s="56"/>
      <c r="N120" s="56"/>
      <c r="O120" s="56"/>
      <c r="P120" s="56"/>
      <c r="Q120" s="56"/>
      <c r="R120" s="56"/>
      <c r="S120" s="56"/>
      <c r="T120" s="56"/>
      <c r="U120" s="56"/>
      <c r="V120" s="56"/>
      <c r="W120" s="56"/>
      <c r="X120" s="56"/>
      <c r="Y120" s="56"/>
      <c r="Z120" s="56"/>
      <c r="AA120" s="56"/>
      <c r="AB120" s="56"/>
      <c r="AC120" s="56"/>
      <c r="AD120" s="56"/>
      <c r="AE120" s="56"/>
      <c r="AF120" s="56"/>
      <c r="AG120" s="56"/>
      <c r="AH120" s="56"/>
      <c r="AI120" s="56"/>
      <c r="AJ120" s="56"/>
      <c r="AK120" s="56"/>
      <c r="AL120" s="56"/>
      <c r="AM120" s="56"/>
      <c r="AN120" s="56"/>
      <c r="AO120" s="56"/>
      <c r="AP120" s="56"/>
      <c r="AQ120" s="56"/>
      <c r="AR120" s="56"/>
      <c r="AS120" s="56"/>
      <c r="AT120" s="56"/>
      <c r="AU120" s="56"/>
      <c r="AV120" s="56"/>
      <c r="AW120" s="56"/>
      <c r="AX120" s="56"/>
      <c r="AY120" s="56"/>
      <c r="AZ120" s="56"/>
      <c r="BA120" s="56"/>
      <c r="BB120" s="56"/>
      <c r="BC120" s="56"/>
      <c r="BD120" s="56"/>
      <c r="BE120" s="56"/>
      <c r="BF120" s="56"/>
      <c r="BG120" s="56"/>
      <c r="BH120" s="56"/>
      <c r="BI120" s="56"/>
      <c r="BJ120" s="56"/>
      <c r="BK120" s="56"/>
      <c r="BL120" s="56"/>
      <c r="BM120" s="56"/>
      <c r="BN120" s="56"/>
      <c r="BO120" s="56"/>
      <c r="BP120" s="56">
        <v>69</v>
      </c>
      <c r="BQ120" s="56"/>
      <c r="BR120" s="56"/>
      <c r="BS120" s="56">
        <v>95.13</v>
      </c>
      <c r="BT120" s="56"/>
      <c r="BU120" s="56"/>
      <c r="BV120" s="56"/>
      <c r="BW120" s="56"/>
      <c r="BX120" s="56"/>
      <c r="BY120" s="56"/>
      <c r="BZ120" s="56"/>
      <c r="CA120" s="56"/>
      <c r="CB120" s="56">
        <v>240</v>
      </c>
      <c r="CC120" s="56"/>
      <c r="CD120" s="56"/>
      <c r="CE120" s="56"/>
      <c r="CF120" s="56"/>
      <c r="CG120" s="56"/>
      <c r="CH120" s="56"/>
      <c r="CI120" s="56"/>
      <c r="CJ120" s="56"/>
      <c r="CK120" s="56"/>
      <c r="CL120" s="56"/>
      <c r="CM120" s="56"/>
      <c r="CN120" s="56"/>
      <c r="CO120" s="35"/>
      <c r="CP120" s="36">
        <f>+SUM(D120:CO120)</f>
        <v>404.13</v>
      </c>
      <c r="CQ120" s="42"/>
    </row>
    <row r="121" spans="2:95" ht="12.75" hidden="1" customHeight="1" outlineLevel="1" x14ac:dyDescent="0.2">
      <c r="B121" s="40"/>
      <c r="C121" s="40" t="str">
        <f>+C160</f>
        <v>Jonis Heikkinen</v>
      </c>
      <c r="D121" s="57"/>
      <c r="E121" s="57"/>
      <c r="F121" s="57"/>
      <c r="G121" s="57"/>
      <c r="H121" s="57"/>
      <c r="I121" s="57"/>
      <c r="J121" s="57"/>
      <c r="K121" s="57"/>
      <c r="L121" s="57"/>
      <c r="M121" s="57"/>
      <c r="N121" s="57"/>
      <c r="O121" s="57"/>
      <c r="P121" s="57"/>
      <c r="Q121" s="57"/>
      <c r="R121" s="57"/>
      <c r="S121" s="57"/>
      <c r="T121" s="57">
        <v>15</v>
      </c>
      <c r="U121" s="57"/>
      <c r="V121" s="57"/>
      <c r="W121" s="57"/>
      <c r="X121" s="57"/>
      <c r="Y121" s="57"/>
      <c r="Z121" s="57">
        <v>90</v>
      </c>
      <c r="AA121" s="57"/>
      <c r="AB121" s="57"/>
      <c r="AC121" s="57"/>
      <c r="AD121" s="57"/>
      <c r="AE121" s="57"/>
      <c r="AF121" s="57"/>
      <c r="AG121" s="57"/>
      <c r="AH121" s="57"/>
      <c r="AI121" s="57"/>
      <c r="AJ121" s="57"/>
      <c r="AK121" s="57"/>
      <c r="AL121" s="57"/>
      <c r="AM121" s="57"/>
      <c r="AN121" s="57"/>
      <c r="AO121" s="57"/>
      <c r="AP121" s="57"/>
      <c r="AQ121" s="57"/>
      <c r="AR121" s="57"/>
      <c r="AS121" s="57"/>
      <c r="AT121" s="57">
        <v>120</v>
      </c>
      <c r="AU121" s="57"/>
      <c r="AV121" s="57"/>
      <c r="AW121" s="57"/>
      <c r="AX121" s="57"/>
      <c r="AY121" s="57"/>
      <c r="AZ121" s="57"/>
      <c r="BA121" s="57"/>
      <c r="BB121" s="57"/>
      <c r="BC121" s="57"/>
      <c r="BD121" s="57"/>
      <c r="BE121" s="57"/>
      <c r="BF121" s="57"/>
      <c r="BG121" s="57"/>
      <c r="BH121" s="57"/>
      <c r="BI121" s="57"/>
      <c r="BJ121" s="57"/>
      <c r="BK121" s="57"/>
      <c r="BL121" s="57">
        <v>135</v>
      </c>
      <c r="BM121" s="57"/>
      <c r="BN121" s="57"/>
      <c r="BO121" s="57"/>
      <c r="BP121" s="57"/>
      <c r="BQ121" s="57"/>
      <c r="BR121" s="57"/>
      <c r="BS121" s="57"/>
      <c r="BT121" s="57"/>
      <c r="BU121" s="57"/>
      <c r="BV121" s="57"/>
      <c r="BW121" s="57"/>
      <c r="BX121" s="57"/>
      <c r="BY121" s="57"/>
      <c r="BZ121" s="57"/>
      <c r="CA121" s="57"/>
      <c r="CB121" s="57"/>
      <c r="CC121" s="57"/>
      <c r="CD121" s="57"/>
      <c r="CE121" s="57"/>
      <c r="CF121" s="57"/>
      <c r="CG121" s="57"/>
      <c r="CH121" s="57"/>
      <c r="CI121" s="57"/>
      <c r="CJ121" s="57"/>
      <c r="CK121" s="57"/>
      <c r="CL121" s="57"/>
      <c r="CM121" s="57"/>
      <c r="CN121" s="57"/>
      <c r="CO121" s="42"/>
      <c r="CP121" s="29">
        <f>+SUM(D121:CO121)</f>
        <v>360</v>
      </c>
      <c r="CQ121" s="42"/>
    </row>
    <row r="122" spans="2:95" ht="12.75" hidden="1" customHeight="1" outlineLevel="1" x14ac:dyDescent="0.2">
      <c r="B122" s="33"/>
      <c r="C122" s="33" t="str">
        <f>+C161</f>
        <v>Ilmari Lehtinen</v>
      </c>
      <c r="D122" s="56"/>
      <c r="E122" s="56"/>
      <c r="F122" s="56"/>
      <c r="G122" s="56"/>
      <c r="H122" s="56"/>
      <c r="I122" s="56"/>
      <c r="J122" s="56"/>
      <c r="K122" s="56"/>
      <c r="L122" s="56"/>
      <c r="M122" s="56"/>
      <c r="N122" s="56"/>
      <c r="O122" s="56"/>
      <c r="P122" s="56"/>
      <c r="Q122" s="56"/>
      <c r="R122" s="56"/>
      <c r="S122" s="56"/>
      <c r="T122" s="56"/>
      <c r="U122" s="56"/>
      <c r="V122" s="56"/>
      <c r="W122" s="56"/>
      <c r="X122" s="56"/>
      <c r="Y122" s="56"/>
      <c r="Z122" s="56"/>
      <c r="AA122" s="56"/>
      <c r="AB122" s="56"/>
      <c r="AC122" s="56"/>
      <c r="AD122" s="56"/>
      <c r="AE122" s="56"/>
      <c r="AF122" s="56"/>
      <c r="AG122" s="56"/>
      <c r="AH122" s="56"/>
      <c r="AI122" s="56"/>
      <c r="AJ122" s="56"/>
      <c r="AK122" s="56"/>
      <c r="AL122" s="56"/>
      <c r="AM122" s="56"/>
      <c r="AN122" s="56"/>
      <c r="AO122" s="56"/>
      <c r="AP122" s="56"/>
      <c r="AQ122" s="56"/>
      <c r="AR122" s="56"/>
      <c r="AS122" s="56"/>
      <c r="AT122" s="56"/>
      <c r="AU122" s="56"/>
      <c r="AV122" s="56"/>
      <c r="AW122" s="56"/>
      <c r="AX122" s="56"/>
      <c r="AY122" s="56"/>
      <c r="AZ122" s="56"/>
      <c r="BA122" s="56"/>
      <c r="BB122" s="56"/>
      <c r="BC122" s="56"/>
      <c r="BD122" s="56"/>
      <c r="BE122" s="56"/>
      <c r="BF122" s="56"/>
      <c r="BG122" s="56"/>
      <c r="BH122" s="56"/>
      <c r="BI122" s="56"/>
      <c r="BJ122" s="56"/>
      <c r="BK122" s="56">
        <v>140</v>
      </c>
      <c r="BL122" s="56"/>
      <c r="BM122" s="56"/>
      <c r="BN122" s="56"/>
      <c r="BO122" s="56"/>
      <c r="BP122" s="56">
        <v>115</v>
      </c>
      <c r="BQ122" s="56"/>
      <c r="BR122" s="56"/>
      <c r="BS122" s="56"/>
      <c r="BT122" s="56"/>
      <c r="BU122" s="56"/>
      <c r="BV122" s="56"/>
      <c r="BW122" s="56"/>
      <c r="BX122" s="56"/>
      <c r="BY122" s="56"/>
      <c r="BZ122" s="56"/>
      <c r="CA122" s="56"/>
      <c r="CB122" s="56"/>
      <c r="CC122" s="56"/>
      <c r="CD122" s="56"/>
      <c r="CE122" s="56"/>
      <c r="CF122" s="56"/>
      <c r="CG122" s="56"/>
      <c r="CH122" s="56"/>
      <c r="CI122" s="56"/>
      <c r="CJ122" s="56"/>
      <c r="CK122" s="56"/>
      <c r="CL122" s="56"/>
      <c r="CM122" s="56"/>
      <c r="CN122" s="56"/>
      <c r="CO122" s="35"/>
      <c r="CP122" s="36">
        <f>+SUM(D122:CO122)</f>
        <v>255</v>
      </c>
      <c r="CQ122" s="42"/>
    </row>
    <row r="123" spans="2:95" ht="12.75" hidden="1" customHeight="1" outlineLevel="1" x14ac:dyDescent="0.2">
      <c r="B123" s="40"/>
      <c r="C123" s="40" t="str">
        <f>+C162</f>
        <v>Jamiro Lilja</v>
      </c>
      <c r="D123" s="57"/>
      <c r="E123" s="57"/>
      <c r="F123" s="57"/>
      <c r="G123" s="57"/>
      <c r="H123" s="57"/>
      <c r="I123" s="57"/>
      <c r="J123" s="57"/>
      <c r="K123" s="57"/>
      <c r="L123" s="57"/>
      <c r="M123" s="57"/>
      <c r="N123" s="57">
        <v>90</v>
      </c>
      <c r="O123" s="57"/>
      <c r="P123" s="57">
        <v>90</v>
      </c>
      <c r="Q123" s="57"/>
      <c r="R123" s="57"/>
      <c r="S123" s="57"/>
      <c r="T123" s="57"/>
      <c r="U123" s="57"/>
      <c r="V123" s="57">
        <v>105</v>
      </c>
      <c r="W123" s="57"/>
      <c r="X123" s="57">
        <v>105</v>
      </c>
      <c r="Y123" s="57">
        <v>90</v>
      </c>
      <c r="Z123" s="57"/>
      <c r="AA123" s="57"/>
      <c r="AB123" s="57"/>
      <c r="AC123" s="57"/>
      <c r="AD123" s="57"/>
      <c r="AE123" s="57"/>
      <c r="AF123" s="57"/>
      <c r="AG123" s="57"/>
      <c r="AH123" s="57"/>
      <c r="AI123" s="57"/>
      <c r="AJ123" s="57"/>
      <c r="AK123" s="57"/>
      <c r="AL123" s="57">
        <v>135</v>
      </c>
      <c r="AM123" s="57"/>
      <c r="AN123" s="57">
        <v>120</v>
      </c>
      <c r="AO123" s="57"/>
      <c r="AP123" s="57"/>
      <c r="AQ123" s="57"/>
      <c r="AR123" s="57"/>
      <c r="AS123" s="57"/>
      <c r="AT123" s="57"/>
      <c r="AU123" s="57">
        <v>90</v>
      </c>
      <c r="AV123" s="57"/>
      <c r="AW123" s="57"/>
      <c r="AX123" s="57"/>
      <c r="AY123" s="57"/>
      <c r="AZ123" s="57"/>
      <c r="BA123" s="57"/>
      <c r="BB123" s="57"/>
      <c r="BC123" s="57"/>
      <c r="BD123" s="57">
        <v>180</v>
      </c>
      <c r="BE123" s="57"/>
      <c r="BF123" s="57"/>
      <c r="BG123" s="57"/>
      <c r="BH123" s="57"/>
      <c r="BI123" s="57"/>
      <c r="BJ123" s="57"/>
      <c r="BK123" s="57"/>
      <c r="BL123" s="57"/>
      <c r="BM123" s="57"/>
      <c r="BN123" s="57"/>
      <c r="BO123" s="57">
        <v>120</v>
      </c>
      <c r="BP123" s="57"/>
      <c r="BQ123" s="57"/>
      <c r="BR123" s="57"/>
      <c r="BS123" s="57"/>
      <c r="BT123" s="57"/>
      <c r="BU123" s="57"/>
      <c r="BV123" s="57">
        <v>220</v>
      </c>
      <c r="BW123" s="57"/>
      <c r="BX123" s="57"/>
      <c r="BY123" s="57"/>
      <c r="BZ123" s="57">
        <v>120</v>
      </c>
      <c r="CA123" s="57"/>
      <c r="CB123" s="57"/>
      <c r="CC123" s="57">
        <v>220</v>
      </c>
      <c r="CD123" s="57"/>
      <c r="CE123" s="57"/>
      <c r="CF123" s="57"/>
      <c r="CG123" s="57"/>
      <c r="CH123" s="57"/>
      <c r="CI123" s="57"/>
      <c r="CJ123" s="57"/>
      <c r="CK123" s="57"/>
      <c r="CL123" s="57">
        <v>270</v>
      </c>
      <c r="CM123" s="57"/>
      <c r="CN123" s="57"/>
      <c r="CO123" s="42"/>
      <c r="CP123" s="29">
        <f>+SUM(D123:CO123)</f>
        <v>1955</v>
      </c>
      <c r="CQ123" s="42"/>
    </row>
    <row r="124" spans="2:95" ht="12.75" hidden="1" customHeight="1" outlineLevel="1" x14ac:dyDescent="0.2">
      <c r="B124" s="33"/>
      <c r="C124" s="33" t="str">
        <f>+C163</f>
        <v>Tuomas Järvelä</v>
      </c>
      <c r="D124" s="56"/>
      <c r="E124" s="56"/>
      <c r="F124" s="56"/>
      <c r="G124" s="56"/>
      <c r="H124" s="56"/>
      <c r="I124" s="56"/>
      <c r="J124" s="56"/>
      <c r="K124" s="56"/>
      <c r="L124" s="56"/>
      <c r="M124" s="56"/>
      <c r="N124" s="56"/>
      <c r="O124" s="56"/>
      <c r="P124" s="56"/>
      <c r="Q124" s="56"/>
      <c r="R124" s="56"/>
      <c r="S124" s="56"/>
      <c r="T124" s="56"/>
      <c r="U124" s="56"/>
      <c r="V124" s="56"/>
      <c r="W124" s="56"/>
      <c r="X124" s="56"/>
      <c r="Y124" s="56"/>
      <c r="Z124" s="56"/>
      <c r="AA124" s="56"/>
      <c r="AB124" s="56"/>
      <c r="AC124" s="56"/>
      <c r="AD124" s="56"/>
      <c r="AE124" s="56"/>
      <c r="AF124" s="56"/>
      <c r="AG124" s="56"/>
      <c r="AH124" s="56"/>
      <c r="AI124" s="56"/>
      <c r="AJ124" s="56"/>
      <c r="AK124" s="56"/>
      <c r="AL124" s="56"/>
      <c r="AM124" s="56"/>
      <c r="AN124" s="56"/>
      <c r="AO124" s="56">
        <v>50</v>
      </c>
      <c r="AP124" s="56"/>
      <c r="AQ124" s="56"/>
      <c r="AR124" s="56"/>
      <c r="AS124" s="56"/>
      <c r="AT124" s="56"/>
      <c r="AU124" s="56"/>
      <c r="AV124" s="56"/>
      <c r="AW124" s="56"/>
      <c r="AX124" s="56"/>
      <c r="AY124" s="56"/>
      <c r="AZ124" s="56"/>
      <c r="BA124" s="56"/>
      <c r="BB124" s="56"/>
      <c r="BC124" s="56"/>
      <c r="BD124" s="56"/>
      <c r="BE124" s="56"/>
      <c r="BF124" s="56"/>
      <c r="BG124" s="56"/>
      <c r="BH124" s="56">
        <v>40</v>
      </c>
      <c r="BI124" s="56"/>
      <c r="BJ124" s="56"/>
      <c r="BK124" s="56"/>
      <c r="BL124" s="56"/>
      <c r="BM124" s="56"/>
      <c r="BN124" s="56"/>
      <c r="BO124" s="56"/>
      <c r="BP124" s="56"/>
      <c r="BQ124" s="56"/>
      <c r="BR124" s="56"/>
      <c r="BS124" s="56"/>
      <c r="BT124" s="56"/>
      <c r="BU124" s="56"/>
      <c r="BV124" s="56"/>
      <c r="BW124" s="56"/>
      <c r="BX124" s="56"/>
      <c r="BY124" s="56"/>
      <c r="BZ124" s="56"/>
      <c r="CA124" s="56"/>
      <c r="CB124" s="56"/>
      <c r="CC124" s="56"/>
      <c r="CD124" s="56"/>
      <c r="CE124" s="56"/>
      <c r="CF124" s="56"/>
      <c r="CG124" s="56"/>
      <c r="CH124" s="56"/>
      <c r="CI124" s="56"/>
      <c r="CJ124" s="56"/>
      <c r="CK124" s="56"/>
      <c r="CL124" s="56"/>
      <c r="CM124" s="56"/>
      <c r="CN124" s="56"/>
      <c r="CO124" s="35"/>
      <c r="CP124" s="36">
        <f>+SUM(D124:CO124)</f>
        <v>90</v>
      </c>
      <c r="CQ124" s="42"/>
    </row>
    <row r="125" spans="2:95" ht="12.75" hidden="1" customHeight="1" outlineLevel="1" x14ac:dyDescent="0.2">
      <c r="B125" s="40"/>
      <c r="C125" s="40" t="str">
        <f>+C164</f>
        <v>Aapo Pajunen</v>
      </c>
      <c r="D125" s="57"/>
      <c r="E125" s="57"/>
      <c r="F125" s="57"/>
      <c r="G125" s="57"/>
      <c r="H125" s="57"/>
      <c r="I125" s="57"/>
      <c r="J125" s="57"/>
      <c r="K125" s="57"/>
      <c r="L125" s="57"/>
      <c r="M125" s="57"/>
      <c r="N125" s="57"/>
      <c r="O125" s="57"/>
      <c r="P125" s="57"/>
      <c r="Q125" s="57"/>
      <c r="R125" s="57"/>
      <c r="S125" s="57"/>
      <c r="T125" s="57"/>
      <c r="U125" s="57"/>
      <c r="V125" s="57"/>
      <c r="W125" s="57"/>
      <c r="X125" s="57"/>
      <c r="Y125" s="57"/>
      <c r="Z125" s="57"/>
      <c r="AA125" s="57"/>
      <c r="AB125" s="57"/>
      <c r="AC125" s="57"/>
      <c r="AD125" s="57"/>
      <c r="AE125" s="57"/>
      <c r="AF125" s="57"/>
      <c r="AG125" s="57"/>
      <c r="AH125" s="57"/>
      <c r="AI125" s="57"/>
      <c r="AJ125" s="57"/>
      <c r="AK125" s="57"/>
      <c r="AL125" s="57"/>
      <c r="AM125" s="57"/>
      <c r="AN125" s="57"/>
      <c r="AO125" s="57"/>
      <c r="AP125" s="57"/>
      <c r="AQ125" s="57"/>
      <c r="AR125" s="57"/>
      <c r="AS125" s="57"/>
      <c r="AT125" s="57"/>
      <c r="AU125" s="57"/>
      <c r="AV125" s="57"/>
      <c r="AW125" s="57"/>
      <c r="AX125" s="57"/>
      <c r="AY125" s="57"/>
      <c r="AZ125" s="57"/>
      <c r="BA125" s="57"/>
      <c r="BB125" s="57"/>
      <c r="BC125" s="57"/>
      <c r="BD125" s="57"/>
      <c r="BE125" s="57"/>
      <c r="BF125" s="57"/>
      <c r="BG125" s="57"/>
      <c r="BH125" s="57"/>
      <c r="BI125" s="57"/>
      <c r="BJ125" s="57"/>
      <c r="BK125" s="57"/>
      <c r="BL125" s="57"/>
      <c r="BM125" s="57"/>
      <c r="BN125" s="57"/>
      <c r="BO125" s="57"/>
      <c r="BP125" s="57"/>
      <c r="BQ125" s="57"/>
      <c r="BR125" s="57"/>
      <c r="BS125" s="57"/>
      <c r="BT125" s="57"/>
      <c r="BU125" s="57"/>
      <c r="BV125" s="57"/>
      <c r="BW125" s="57"/>
      <c r="BX125" s="57"/>
      <c r="BY125" s="57"/>
      <c r="BZ125" s="57"/>
      <c r="CA125" s="57"/>
      <c r="CB125" s="57"/>
      <c r="CC125" s="57"/>
      <c r="CD125" s="57"/>
      <c r="CE125" s="57"/>
      <c r="CF125" s="57"/>
      <c r="CG125" s="57"/>
      <c r="CH125" s="57"/>
      <c r="CI125" s="57"/>
      <c r="CJ125" s="57"/>
      <c r="CK125" s="57"/>
      <c r="CL125" s="57"/>
      <c r="CM125" s="57"/>
      <c r="CN125" s="57"/>
      <c r="CO125" s="42"/>
      <c r="CP125" s="29">
        <f>+SUM(D125:CO125)</f>
        <v>0</v>
      </c>
      <c r="CQ125" s="42"/>
    </row>
    <row r="126" spans="2:95" ht="12.75" hidden="1" customHeight="1" outlineLevel="1" x14ac:dyDescent="0.2">
      <c r="B126" s="33"/>
      <c r="C126" s="33" t="str">
        <f>+C165</f>
        <v>Eerika Ojantakanen</v>
      </c>
      <c r="D126" s="56"/>
      <c r="E126" s="56"/>
      <c r="F126" s="56"/>
      <c r="G126" s="56"/>
      <c r="H126" s="56"/>
      <c r="I126" s="56"/>
      <c r="J126" s="56"/>
      <c r="K126" s="56"/>
      <c r="L126" s="56"/>
      <c r="M126" s="56"/>
      <c r="N126" s="56"/>
      <c r="O126" s="56"/>
      <c r="P126" s="56"/>
      <c r="Q126" s="56"/>
      <c r="R126" s="56"/>
      <c r="S126" s="56"/>
      <c r="T126" s="56"/>
      <c r="U126" s="56"/>
      <c r="V126" s="56"/>
      <c r="W126" s="56"/>
      <c r="X126" s="56"/>
      <c r="Y126" s="56"/>
      <c r="Z126" s="56"/>
      <c r="AA126" s="56"/>
      <c r="AB126" s="56"/>
      <c r="AC126" s="56"/>
      <c r="AD126" s="56"/>
      <c r="AE126" s="56"/>
      <c r="AF126" s="56"/>
      <c r="AG126" s="56"/>
      <c r="AH126" s="56"/>
      <c r="AI126" s="56"/>
      <c r="AJ126" s="56"/>
      <c r="AK126" s="56"/>
      <c r="AL126" s="56"/>
      <c r="AM126" s="56"/>
      <c r="AN126" s="56"/>
      <c r="AO126" s="56"/>
      <c r="AP126" s="56"/>
      <c r="AQ126" s="56"/>
      <c r="AR126" s="56"/>
      <c r="AS126" s="56"/>
      <c r="AT126" s="56"/>
      <c r="AU126" s="56"/>
      <c r="AV126" s="56"/>
      <c r="AW126" s="56"/>
      <c r="AX126" s="56"/>
      <c r="AY126" s="56"/>
      <c r="AZ126" s="56"/>
      <c r="BA126" s="56"/>
      <c r="BB126" s="56"/>
      <c r="BC126" s="56"/>
      <c r="BD126" s="56"/>
      <c r="BE126" s="56"/>
      <c r="BF126" s="56"/>
      <c r="BG126" s="56"/>
      <c r="BH126" s="56"/>
      <c r="BI126" s="56"/>
      <c r="BJ126" s="56"/>
      <c r="BK126" s="56"/>
      <c r="BL126" s="56"/>
      <c r="BM126" s="56"/>
      <c r="BN126" s="56"/>
      <c r="BO126" s="56"/>
      <c r="BP126" s="56"/>
      <c r="BQ126" s="56"/>
      <c r="BR126" s="56"/>
      <c r="BS126" s="56"/>
      <c r="BT126" s="56"/>
      <c r="BU126" s="56"/>
      <c r="BV126" s="56"/>
      <c r="BW126" s="56"/>
      <c r="BX126" s="56"/>
      <c r="BY126" s="56"/>
      <c r="BZ126" s="56"/>
      <c r="CA126" s="56"/>
      <c r="CB126" s="56"/>
      <c r="CC126" s="56"/>
      <c r="CD126" s="56"/>
      <c r="CE126" s="56"/>
      <c r="CF126" s="56"/>
      <c r="CG126" s="56"/>
      <c r="CH126" s="56"/>
      <c r="CI126" s="56"/>
      <c r="CJ126" s="56"/>
      <c r="CK126" s="56"/>
      <c r="CL126" s="56"/>
      <c r="CM126" s="56"/>
      <c r="CN126" s="56"/>
      <c r="CO126" s="35"/>
      <c r="CP126" s="36">
        <f>+SUM(D126:CO126)</f>
        <v>0</v>
      </c>
      <c r="CQ126" s="42"/>
    </row>
    <row r="127" spans="2:95" ht="12.75" hidden="1" customHeight="1" outlineLevel="1" x14ac:dyDescent="0.2">
      <c r="B127" s="40"/>
      <c r="C127" s="40" t="str">
        <f>+C166</f>
        <v>Otto von Boehm</v>
      </c>
      <c r="D127" s="57"/>
      <c r="E127" s="57"/>
      <c r="F127" s="57"/>
      <c r="G127" s="57"/>
      <c r="H127" s="57"/>
      <c r="I127" s="57"/>
      <c r="J127" s="57"/>
      <c r="K127" s="57"/>
      <c r="L127" s="57"/>
      <c r="M127" s="57"/>
      <c r="N127" s="57"/>
      <c r="O127" s="57"/>
      <c r="P127" s="57"/>
      <c r="Q127" s="57"/>
      <c r="R127" s="57"/>
      <c r="S127" s="57"/>
      <c r="T127" s="57"/>
      <c r="U127" s="57"/>
      <c r="V127" s="57"/>
      <c r="W127" s="57"/>
      <c r="X127" s="57"/>
      <c r="Y127" s="57"/>
      <c r="Z127" s="57"/>
      <c r="AA127" s="57"/>
      <c r="AB127" s="57"/>
      <c r="AC127" s="57"/>
      <c r="AD127" s="57"/>
      <c r="AE127" s="57"/>
      <c r="AF127" s="57"/>
      <c r="AG127" s="57"/>
      <c r="AH127" s="57"/>
      <c r="AI127" s="57"/>
      <c r="AJ127" s="57"/>
      <c r="AK127" s="57"/>
      <c r="AL127" s="57"/>
      <c r="AM127" s="57"/>
      <c r="AN127" s="57"/>
      <c r="AO127" s="57"/>
      <c r="AP127" s="57"/>
      <c r="AQ127" s="57"/>
      <c r="AR127" s="57"/>
      <c r="AS127" s="57"/>
      <c r="AT127" s="57"/>
      <c r="AU127" s="57"/>
      <c r="AV127" s="57"/>
      <c r="AW127" s="57"/>
      <c r="AX127" s="57"/>
      <c r="AY127" s="57"/>
      <c r="AZ127" s="57"/>
      <c r="BA127" s="57"/>
      <c r="BB127" s="57"/>
      <c r="BC127" s="57"/>
      <c r="BD127" s="57"/>
      <c r="BE127" s="57"/>
      <c r="BF127" s="57"/>
      <c r="BG127" s="57"/>
      <c r="BH127" s="57"/>
      <c r="BI127" s="57"/>
      <c r="BJ127" s="57"/>
      <c r="BK127" s="57"/>
      <c r="BL127" s="57"/>
      <c r="BM127" s="57"/>
      <c r="BN127" s="57"/>
      <c r="BO127" s="57"/>
      <c r="BP127" s="57"/>
      <c r="BQ127" s="57"/>
      <c r="BR127" s="57"/>
      <c r="BS127" s="57"/>
      <c r="BT127" s="57"/>
      <c r="BU127" s="57"/>
      <c r="BV127" s="57"/>
      <c r="BW127" s="57"/>
      <c r="BX127" s="57"/>
      <c r="BY127" s="57"/>
      <c r="BZ127" s="57"/>
      <c r="CA127" s="57"/>
      <c r="CB127" s="57"/>
      <c r="CC127" s="57"/>
      <c r="CD127" s="57"/>
      <c r="CE127" s="57"/>
      <c r="CF127" s="57"/>
      <c r="CG127" s="57"/>
      <c r="CH127" s="57"/>
      <c r="CI127" s="57"/>
      <c r="CJ127" s="57"/>
      <c r="CK127" s="57"/>
      <c r="CL127" s="57"/>
      <c r="CM127" s="57"/>
      <c r="CN127" s="57"/>
      <c r="CO127" s="42"/>
      <c r="CP127" s="29">
        <f>+SUM(D127:CO127)</f>
        <v>0</v>
      </c>
      <c r="CQ127" s="42"/>
    </row>
    <row r="128" spans="2:95" ht="12.75" hidden="1" customHeight="1" outlineLevel="1" x14ac:dyDescent="0.2">
      <c r="B128" s="33"/>
      <c r="C128" s="33" t="str">
        <f>+C167</f>
        <v>Samuli Laakko</v>
      </c>
      <c r="D128" s="56"/>
      <c r="E128" s="56"/>
      <c r="F128" s="56"/>
      <c r="G128" s="56"/>
      <c r="H128" s="56"/>
      <c r="I128" s="56"/>
      <c r="J128" s="56"/>
      <c r="K128" s="56"/>
      <c r="L128" s="56"/>
      <c r="M128" s="56"/>
      <c r="N128" s="56"/>
      <c r="O128" s="56"/>
      <c r="P128" s="56"/>
      <c r="Q128" s="56"/>
      <c r="R128" s="56"/>
      <c r="S128" s="56"/>
      <c r="T128" s="56"/>
      <c r="U128" s="56"/>
      <c r="V128" s="56"/>
      <c r="W128" s="56"/>
      <c r="X128" s="56"/>
      <c r="Y128" s="56"/>
      <c r="Z128" s="56"/>
      <c r="AA128" s="56"/>
      <c r="AB128" s="56">
        <v>105</v>
      </c>
      <c r="AC128" s="56"/>
      <c r="AD128" s="56"/>
      <c r="AE128" s="56"/>
      <c r="AF128" s="56"/>
      <c r="AG128" s="56"/>
      <c r="AH128" s="56"/>
      <c r="AI128" s="56"/>
      <c r="AJ128" s="56"/>
      <c r="AK128" s="56"/>
      <c r="AL128" s="56"/>
      <c r="AM128" s="56"/>
      <c r="AN128" s="56"/>
      <c r="AO128" s="56"/>
      <c r="AP128" s="56"/>
      <c r="AQ128" s="56"/>
      <c r="AR128" s="56"/>
      <c r="AS128" s="56"/>
      <c r="AT128" s="56"/>
      <c r="AU128" s="56"/>
      <c r="AV128" s="56"/>
      <c r="AW128" s="56"/>
      <c r="AX128" s="56"/>
      <c r="AY128" s="56"/>
      <c r="AZ128" s="56"/>
      <c r="BA128" s="56">
        <v>120</v>
      </c>
      <c r="BB128" s="56"/>
      <c r="BC128" s="56"/>
      <c r="BD128" s="56"/>
      <c r="BE128" s="56"/>
      <c r="BF128" s="56"/>
      <c r="BG128" s="56"/>
      <c r="BH128" s="56"/>
      <c r="BI128" s="56"/>
      <c r="BJ128" s="56"/>
      <c r="BK128" s="56"/>
      <c r="BL128" s="56"/>
      <c r="BM128" s="56"/>
      <c r="BN128" s="56"/>
      <c r="BO128" s="56"/>
      <c r="BP128" s="56"/>
      <c r="BQ128" s="56"/>
      <c r="BR128" s="56"/>
      <c r="BS128" s="56"/>
      <c r="BT128" s="56"/>
      <c r="BU128" s="56"/>
      <c r="BV128" s="56"/>
      <c r="BW128" s="56"/>
      <c r="BX128" s="56">
        <v>67.5</v>
      </c>
      <c r="BY128" s="56"/>
      <c r="BZ128" s="56"/>
      <c r="CA128" s="56"/>
      <c r="CB128" s="56"/>
      <c r="CC128" s="56"/>
      <c r="CD128" s="56"/>
      <c r="CE128" s="56"/>
      <c r="CF128" s="56"/>
      <c r="CG128" s="56"/>
      <c r="CH128" s="56"/>
      <c r="CI128" s="56"/>
      <c r="CJ128" s="56">
        <v>100</v>
      </c>
      <c r="CK128" s="56"/>
      <c r="CL128" s="56"/>
      <c r="CM128" s="56">
        <v>60</v>
      </c>
      <c r="CN128" s="56">
        <v>66</v>
      </c>
      <c r="CO128" s="35"/>
      <c r="CP128" s="36">
        <f>+SUM(D128:CO128)</f>
        <v>518.5</v>
      </c>
      <c r="CQ128" s="42"/>
    </row>
    <row r="129" spans="2:95" ht="12.75" hidden="1" customHeight="1" outlineLevel="1" x14ac:dyDescent="0.2">
      <c r="B129" s="40"/>
      <c r="C129" s="40" t="str">
        <f>+C168</f>
        <v>Otto Palkama</v>
      </c>
      <c r="D129" s="57"/>
      <c r="E129" s="57"/>
      <c r="F129" s="57"/>
      <c r="G129" s="57"/>
      <c r="H129" s="57"/>
      <c r="I129" s="57"/>
      <c r="J129" s="57"/>
      <c r="K129" s="57"/>
      <c r="L129" s="57"/>
      <c r="M129" s="57"/>
      <c r="N129" s="57"/>
      <c r="O129" s="57"/>
      <c r="P129" s="57"/>
      <c r="Q129" s="57"/>
      <c r="R129" s="57"/>
      <c r="S129" s="57"/>
      <c r="T129" s="57"/>
      <c r="U129" s="57"/>
      <c r="V129" s="57"/>
      <c r="W129" s="57"/>
      <c r="X129" s="57"/>
      <c r="Y129" s="57"/>
      <c r="Z129" s="57"/>
      <c r="AA129" s="57"/>
      <c r="AB129" s="57"/>
      <c r="AC129" s="57"/>
      <c r="AD129" s="57"/>
      <c r="AE129" s="57"/>
      <c r="AF129" s="57"/>
      <c r="AG129" s="57"/>
      <c r="AH129" s="57"/>
      <c r="AI129" s="57"/>
      <c r="AJ129" s="57"/>
      <c r="AK129" s="57"/>
      <c r="AL129" s="57"/>
      <c r="AM129" s="57"/>
      <c r="AN129" s="57"/>
      <c r="AO129" s="57"/>
      <c r="AP129" s="57"/>
      <c r="AQ129" s="57"/>
      <c r="AR129" s="57"/>
      <c r="AS129" s="57">
        <v>174.375</v>
      </c>
      <c r="AT129" s="57"/>
      <c r="AU129" s="57"/>
      <c r="AV129" s="57"/>
      <c r="AW129" s="57"/>
      <c r="AX129" s="57"/>
      <c r="AY129" s="57"/>
      <c r="AZ129" s="57"/>
      <c r="BA129" s="57"/>
      <c r="BB129" s="57"/>
      <c r="BC129" s="57"/>
      <c r="BD129" s="57"/>
      <c r="BE129" s="57"/>
      <c r="BF129" s="57"/>
      <c r="BG129" s="57"/>
      <c r="BH129" s="57"/>
      <c r="BI129" s="57"/>
      <c r="BJ129" s="57"/>
      <c r="BK129" s="57"/>
      <c r="BL129" s="57"/>
      <c r="BM129" s="57"/>
      <c r="BN129" s="57"/>
      <c r="BO129" s="57"/>
      <c r="BP129" s="57"/>
      <c r="BQ129" s="57"/>
      <c r="BR129" s="57"/>
      <c r="BS129" s="57"/>
      <c r="BT129" s="57"/>
      <c r="BU129" s="57"/>
      <c r="BV129" s="57"/>
      <c r="BW129" s="57"/>
      <c r="BX129" s="57"/>
      <c r="BY129" s="57"/>
      <c r="BZ129" s="57"/>
      <c r="CA129" s="57"/>
      <c r="CB129" s="57"/>
      <c r="CC129" s="57"/>
      <c r="CD129" s="57"/>
      <c r="CE129" s="57"/>
      <c r="CF129" s="57"/>
      <c r="CG129" s="57"/>
      <c r="CH129" s="57"/>
      <c r="CI129" s="57"/>
      <c r="CJ129" s="57"/>
      <c r="CK129" s="57"/>
      <c r="CL129" s="57"/>
      <c r="CM129" s="57"/>
      <c r="CN129" s="57"/>
      <c r="CO129" s="42"/>
      <c r="CP129" s="29">
        <f>+SUM(D129:CO129)</f>
        <v>174.375</v>
      </c>
      <c r="CQ129" s="42"/>
    </row>
    <row r="130" spans="2:95" ht="12.75" hidden="1" customHeight="1" outlineLevel="1" x14ac:dyDescent="0.2">
      <c r="B130" s="33"/>
      <c r="C130" s="33" t="str">
        <f>+C169</f>
        <v>Johannes Jäämeri</v>
      </c>
      <c r="D130" s="56"/>
      <c r="E130" s="56"/>
      <c r="F130" s="56"/>
      <c r="G130" s="56"/>
      <c r="H130" s="56"/>
      <c r="I130" s="56"/>
      <c r="J130" s="56"/>
      <c r="K130" s="56"/>
      <c r="L130" s="56"/>
      <c r="M130" s="56"/>
      <c r="N130" s="56"/>
      <c r="O130" s="56"/>
      <c r="P130" s="56"/>
      <c r="Q130" s="56"/>
      <c r="R130" s="56"/>
      <c r="S130" s="56"/>
      <c r="T130" s="56"/>
      <c r="U130" s="56"/>
      <c r="V130" s="56"/>
      <c r="W130" s="56"/>
      <c r="X130" s="56"/>
      <c r="Y130" s="56"/>
      <c r="Z130" s="56"/>
      <c r="AA130" s="56"/>
      <c r="AB130" s="56"/>
      <c r="AC130" s="56"/>
      <c r="AD130" s="56"/>
      <c r="AE130" s="56"/>
      <c r="AF130" s="56"/>
      <c r="AG130" s="56"/>
      <c r="AH130" s="56"/>
      <c r="AI130" s="56"/>
      <c r="AJ130" s="56"/>
      <c r="AK130" s="56"/>
      <c r="AL130" s="56"/>
      <c r="AM130" s="56"/>
      <c r="AN130" s="56"/>
      <c r="AO130" s="56"/>
      <c r="AP130" s="56"/>
      <c r="AQ130" s="56"/>
      <c r="AR130" s="56"/>
      <c r="AS130" s="56"/>
      <c r="AT130" s="56"/>
      <c r="AU130" s="56"/>
      <c r="AV130" s="56"/>
      <c r="AW130" s="56"/>
      <c r="AX130" s="56"/>
      <c r="AY130" s="56"/>
      <c r="AZ130" s="56"/>
      <c r="BA130" s="56"/>
      <c r="BB130" s="56"/>
      <c r="BC130" s="56"/>
      <c r="BD130" s="56"/>
      <c r="BE130" s="56"/>
      <c r="BF130" s="56"/>
      <c r="BG130" s="56"/>
      <c r="BH130" s="56"/>
      <c r="BI130" s="56"/>
      <c r="BJ130" s="56"/>
      <c r="BK130" s="56"/>
      <c r="BL130" s="56"/>
      <c r="BM130" s="56"/>
      <c r="BN130" s="56"/>
      <c r="BO130" s="56"/>
      <c r="BP130" s="56"/>
      <c r="BQ130" s="56"/>
      <c r="BR130" s="56"/>
      <c r="BS130" s="56"/>
      <c r="BT130" s="56"/>
      <c r="BU130" s="56"/>
      <c r="BV130" s="56"/>
      <c r="BW130" s="56"/>
      <c r="BX130" s="56"/>
      <c r="BY130" s="56"/>
      <c r="BZ130" s="56"/>
      <c r="CA130" s="56"/>
      <c r="CB130" s="56"/>
      <c r="CC130" s="56"/>
      <c r="CD130" s="56"/>
      <c r="CE130" s="56"/>
      <c r="CF130" s="56"/>
      <c r="CG130" s="56"/>
      <c r="CH130" s="56"/>
      <c r="CI130" s="56"/>
      <c r="CJ130" s="56"/>
      <c r="CK130" s="56"/>
      <c r="CL130" s="56"/>
      <c r="CM130" s="56"/>
      <c r="CN130" s="56"/>
      <c r="CO130" s="35"/>
      <c r="CP130" s="36">
        <f>+SUM(D130:CO130)</f>
        <v>0</v>
      </c>
      <c r="CQ130" s="42"/>
    </row>
    <row r="131" spans="2:95" ht="12.75" hidden="1" customHeight="1" outlineLevel="1" x14ac:dyDescent="0.2">
      <c r="B131" s="40"/>
      <c r="C131" s="40" t="str">
        <f>+C170</f>
        <v>Mauno Malmivaara</v>
      </c>
      <c r="D131" s="57"/>
      <c r="E131" s="57"/>
      <c r="F131" s="57"/>
      <c r="G131" s="57"/>
      <c r="H131" s="57"/>
      <c r="I131" s="57"/>
      <c r="J131" s="57"/>
      <c r="K131" s="57"/>
      <c r="L131" s="57"/>
      <c r="M131" s="57"/>
      <c r="N131" s="57"/>
      <c r="O131" s="57"/>
      <c r="P131" s="57"/>
      <c r="Q131" s="57"/>
      <c r="R131" s="57"/>
      <c r="S131" s="57"/>
      <c r="T131" s="57"/>
      <c r="U131" s="57"/>
      <c r="V131" s="57"/>
      <c r="W131" s="57"/>
      <c r="X131" s="57"/>
      <c r="Y131" s="57"/>
      <c r="Z131" s="57"/>
      <c r="AA131" s="57"/>
      <c r="AB131" s="57"/>
      <c r="AC131" s="57"/>
      <c r="AD131" s="57"/>
      <c r="AE131" s="57"/>
      <c r="AF131" s="57"/>
      <c r="AG131" s="57"/>
      <c r="AH131" s="57"/>
      <c r="AI131" s="57"/>
      <c r="AJ131" s="57"/>
      <c r="AK131" s="57"/>
      <c r="AL131" s="57"/>
      <c r="AM131" s="57"/>
      <c r="AN131" s="57"/>
      <c r="AO131" s="57"/>
      <c r="AP131" s="57"/>
      <c r="AQ131" s="57"/>
      <c r="AR131" s="57"/>
      <c r="AS131" s="57"/>
      <c r="AT131" s="57"/>
      <c r="AU131" s="57"/>
      <c r="AV131" s="57"/>
      <c r="AW131" s="57"/>
      <c r="AX131" s="57"/>
      <c r="AY131" s="57"/>
      <c r="AZ131" s="57"/>
      <c r="BA131" s="57"/>
      <c r="BB131" s="57"/>
      <c r="BC131" s="57"/>
      <c r="BD131" s="57"/>
      <c r="BE131" s="57"/>
      <c r="BF131" s="57"/>
      <c r="BG131" s="57"/>
      <c r="BH131" s="57"/>
      <c r="BI131" s="57"/>
      <c r="BJ131" s="57"/>
      <c r="BK131" s="57"/>
      <c r="BL131" s="57"/>
      <c r="BM131" s="57"/>
      <c r="BN131" s="57"/>
      <c r="BO131" s="57"/>
      <c r="BP131" s="57"/>
      <c r="BQ131" s="57"/>
      <c r="BR131" s="57"/>
      <c r="BS131" s="57"/>
      <c r="BT131" s="57"/>
      <c r="BU131" s="57">
        <v>40</v>
      </c>
      <c r="BV131" s="57"/>
      <c r="BW131" s="57">
        <v>140</v>
      </c>
      <c r="BX131" s="57">
        <v>202.5</v>
      </c>
      <c r="BY131" s="57"/>
      <c r="BZ131" s="57"/>
      <c r="CA131" s="57">
        <v>108</v>
      </c>
      <c r="CB131" s="57"/>
      <c r="CC131" s="57"/>
      <c r="CD131" s="57">
        <v>44</v>
      </c>
      <c r="CE131" s="57">
        <v>44</v>
      </c>
      <c r="CF131" s="57"/>
      <c r="CG131" s="57"/>
      <c r="CH131" s="57"/>
      <c r="CI131" s="57"/>
      <c r="CJ131" s="57"/>
      <c r="CK131" s="57"/>
      <c r="CL131" s="57"/>
      <c r="CM131" s="57">
        <v>240</v>
      </c>
      <c r="CN131" s="57">
        <v>264</v>
      </c>
      <c r="CO131" s="42"/>
      <c r="CP131" s="29">
        <f>+SUM(D131:CO131)</f>
        <v>1082.5</v>
      </c>
      <c r="CQ131" s="42"/>
    </row>
    <row r="132" spans="2:95" ht="12.75" hidden="1" customHeight="1" outlineLevel="1" x14ac:dyDescent="0.2">
      <c r="B132" s="33"/>
      <c r="C132" s="33" t="str">
        <f>+C171</f>
        <v>Heikki Jalo</v>
      </c>
      <c r="D132" s="56"/>
      <c r="E132" s="56"/>
      <c r="F132" s="56"/>
      <c r="G132" s="56"/>
      <c r="H132" s="56"/>
      <c r="I132" s="56"/>
      <c r="J132" s="56"/>
      <c r="K132" s="56"/>
      <c r="L132" s="56"/>
      <c r="M132" s="56"/>
      <c r="N132" s="56"/>
      <c r="O132" s="56"/>
      <c r="P132" s="56"/>
      <c r="Q132" s="56"/>
      <c r="R132" s="56"/>
      <c r="S132" s="56"/>
      <c r="T132" s="56"/>
      <c r="U132" s="56"/>
      <c r="V132" s="56"/>
      <c r="W132" s="56"/>
      <c r="X132" s="56"/>
      <c r="Y132" s="56"/>
      <c r="Z132" s="56"/>
      <c r="AA132" s="56"/>
      <c r="AB132" s="56"/>
      <c r="AC132" s="56"/>
      <c r="AD132" s="56"/>
      <c r="AE132" s="56"/>
      <c r="AF132" s="56"/>
      <c r="AG132" s="56"/>
      <c r="AH132" s="56"/>
      <c r="AI132" s="56"/>
      <c r="AJ132" s="56"/>
      <c r="AK132" s="56"/>
      <c r="AL132" s="56"/>
      <c r="AM132" s="56"/>
      <c r="AN132" s="56"/>
      <c r="AO132" s="56"/>
      <c r="AP132" s="56"/>
      <c r="AQ132" s="56"/>
      <c r="AR132" s="56"/>
      <c r="AS132" s="56">
        <f>-10%*$AS$186</f>
        <v>32</v>
      </c>
      <c r="AT132" s="56"/>
      <c r="AU132" s="56"/>
      <c r="AV132" s="56"/>
      <c r="AW132" s="56"/>
      <c r="AX132" s="56"/>
      <c r="AY132" s="56"/>
      <c r="AZ132" s="56"/>
      <c r="BA132" s="56"/>
      <c r="BB132" s="56">
        <v>112</v>
      </c>
      <c r="BC132" s="56"/>
      <c r="BD132" s="56"/>
      <c r="BE132" s="56"/>
      <c r="BF132" s="56"/>
      <c r="BG132" s="56"/>
      <c r="BH132" s="56"/>
      <c r="BI132" s="56"/>
      <c r="BJ132" s="56">
        <v>60</v>
      </c>
      <c r="BK132" s="56"/>
      <c r="BL132" s="56"/>
      <c r="BM132" s="56"/>
      <c r="BN132" s="56"/>
      <c r="BO132" s="56"/>
      <c r="BP132" s="56"/>
      <c r="BQ132" s="56"/>
      <c r="BR132" s="56"/>
      <c r="BS132" s="56"/>
      <c r="BT132" s="56"/>
      <c r="BU132" s="56"/>
      <c r="BV132" s="56"/>
      <c r="BW132" s="56"/>
      <c r="BX132" s="56"/>
      <c r="BY132" s="56"/>
      <c r="BZ132" s="56"/>
      <c r="CA132" s="56"/>
      <c r="CB132" s="56"/>
      <c r="CC132" s="56"/>
      <c r="CD132" s="56"/>
      <c r="CE132" s="56"/>
      <c r="CF132" s="56"/>
      <c r="CG132" s="56"/>
      <c r="CH132" s="56"/>
      <c r="CI132" s="56"/>
      <c r="CJ132" s="56"/>
      <c r="CK132" s="56"/>
      <c r="CL132" s="56"/>
      <c r="CM132" s="56"/>
      <c r="CN132" s="56"/>
      <c r="CO132" s="35"/>
      <c r="CP132" s="36">
        <f>+SUM(D132:CO132)</f>
        <v>204</v>
      </c>
      <c r="CQ132" s="42"/>
    </row>
    <row r="133" spans="2:95" ht="12.75" hidden="1" customHeight="1" outlineLevel="1" x14ac:dyDescent="0.2">
      <c r="B133" s="40"/>
      <c r="C133" s="40" t="str">
        <f>+C172</f>
        <v>Jussi Raja</v>
      </c>
      <c r="D133" s="57"/>
      <c r="E133" s="57"/>
      <c r="F133" s="57"/>
      <c r="G133" s="57"/>
      <c r="H133" s="57"/>
      <c r="I133" s="57"/>
      <c r="J133" s="57"/>
      <c r="K133" s="57"/>
      <c r="L133" s="57"/>
      <c r="M133" s="57"/>
      <c r="N133" s="57"/>
      <c r="O133" s="57"/>
      <c r="P133" s="57"/>
      <c r="Q133" s="57"/>
      <c r="R133" s="57"/>
      <c r="S133" s="57"/>
      <c r="T133" s="57"/>
      <c r="U133" s="57"/>
      <c r="V133" s="57"/>
      <c r="W133" s="57"/>
      <c r="X133" s="57"/>
      <c r="Y133" s="57"/>
      <c r="Z133" s="57"/>
      <c r="AA133" s="57"/>
      <c r="AB133" s="57"/>
      <c r="AC133" s="57"/>
      <c r="AD133" s="57"/>
      <c r="AE133" s="57"/>
      <c r="AF133" s="57"/>
      <c r="AG133" s="57"/>
      <c r="AH133" s="57"/>
      <c r="AI133" s="57"/>
      <c r="AJ133" s="57"/>
      <c r="AK133" s="57"/>
      <c r="AL133" s="57"/>
      <c r="AM133" s="57"/>
      <c r="AN133" s="57"/>
      <c r="AO133" s="57"/>
      <c r="AP133" s="57"/>
      <c r="AQ133" s="57"/>
      <c r="AR133" s="57"/>
      <c r="AS133" s="57"/>
      <c r="AT133" s="57"/>
      <c r="AU133" s="57"/>
      <c r="AV133" s="57"/>
      <c r="AW133" s="57"/>
      <c r="AX133" s="57"/>
      <c r="AY133" s="57"/>
      <c r="AZ133" s="57"/>
      <c r="BA133" s="57"/>
      <c r="BB133" s="57"/>
      <c r="BC133" s="57"/>
      <c r="BD133" s="57"/>
      <c r="BE133" s="57"/>
      <c r="BF133" s="57"/>
      <c r="BG133" s="57"/>
      <c r="BH133" s="57"/>
      <c r="BI133" s="57"/>
      <c r="BJ133" s="57"/>
      <c r="BK133" s="57"/>
      <c r="BL133" s="57"/>
      <c r="BM133" s="57"/>
      <c r="BN133" s="57"/>
      <c r="BO133" s="57"/>
      <c r="BP133" s="57"/>
      <c r="BQ133" s="57"/>
      <c r="BR133" s="57"/>
      <c r="BS133" s="57"/>
      <c r="BT133" s="57"/>
      <c r="BU133" s="57"/>
      <c r="BV133" s="57"/>
      <c r="BW133" s="57"/>
      <c r="BX133" s="57"/>
      <c r="BY133" s="57"/>
      <c r="BZ133" s="57"/>
      <c r="CA133" s="57"/>
      <c r="CB133" s="57"/>
      <c r="CC133" s="57"/>
      <c r="CD133" s="57"/>
      <c r="CE133" s="57"/>
      <c r="CF133" s="57"/>
      <c r="CG133" s="57"/>
      <c r="CH133" s="57"/>
      <c r="CI133" s="57"/>
      <c r="CJ133" s="57"/>
      <c r="CK133" s="57"/>
      <c r="CL133" s="57"/>
      <c r="CM133" s="57"/>
      <c r="CN133" s="57"/>
      <c r="CO133" s="42"/>
      <c r="CP133" s="29">
        <f>+SUM(D133:CO133)</f>
        <v>0</v>
      </c>
      <c r="CQ133" s="42"/>
    </row>
    <row r="134" spans="2:95" ht="12.75" hidden="1" customHeight="1" outlineLevel="1" x14ac:dyDescent="0.2">
      <c r="B134" s="33"/>
      <c r="C134" s="33" t="str">
        <f>+C173</f>
        <v>Tomi Pihlajamaa</v>
      </c>
      <c r="D134" s="56"/>
      <c r="E134" s="56"/>
      <c r="F134" s="56"/>
      <c r="G134" s="56"/>
      <c r="H134" s="56"/>
      <c r="I134" s="56"/>
      <c r="J134" s="56"/>
      <c r="K134" s="56"/>
      <c r="L134" s="56"/>
      <c r="M134" s="56"/>
      <c r="N134" s="56"/>
      <c r="O134" s="56"/>
      <c r="P134" s="56"/>
      <c r="Q134" s="56"/>
      <c r="R134" s="56"/>
      <c r="S134" s="56"/>
      <c r="T134" s="56"/>
      <c r="U134" s="56"/>
      <c r="V134" s="56"/>
      <c r="W134" s="56"/>
      <c r="X134" s="56"/>
      <c r="Y134" s="56"/>
      <c r="Z134" s="56"/>
      <c r="AA134" s="56"/>
      <c r="AB134" s="56"/>
      <c r="AC134" s="56"/>
      <c r="AD134" s="56"/>
      <c r="AE134" s="56"/>
      <c r="AF134" s="56"/>
      <c r="AG134" s="56"/>
      <c r="AH134" s="56"/>
      <c r="AI134" s="56"/>
      <c r="AJ134" s="56"/>
      <c r="AK134" s="56"/>
      <c r="AL134" s="56"/>
      <c r="AM134" s="56"/>
      <c r="AN134" s="56"/>
      <c r="AO134" s="56"/>
      <c r="AP134" s="56"/>
      <c r="AQ134" s="56"/>
      <c r="AR134" s="56"/>
      <c r="AS134" s="56"/>
      <c r="AT134" s="56"/>
      <c r="AU134" s="56"/>
      <c r="AV134" s="56"/>
      <c r="AW134" s="56"/>
      <c r="AX134" s="56"/>
      <c r="AY134" s="56"/>
      <c r="AZ134" s="56"/>
      <c r="BA134" s="56"/>
      <c r="BB134" s="56"/>
      <c r="BC134" s="56"/>
      <c r="BD134" s="56"/>
      <c r="BE134" s="56"/>
      <c r="BF134" s="56"/>
      <c r="BG134" s="56"/>
      <c r="BH134" s="56"/>
      <c r="BI134" s="56"/>
      <c r="BJ134" s="56"/>
      <c r="BK134" s="56"/>
      <c r="BL134" s="56"/>
      <c r="BM134" s="56"/>
      <c r="BN134" s="56"/>
      <c r="BO134" s="56"/>
      <c r="BP134" s="56"/>
      <c r="BQ134" s="56"/>
      <c r="BR134" s="56"/>
      <c r="BS134" s="56"/>
      <c r="BT134" s="56"/>
      <c r="BU134" s="56"/>
      <c r="BV134" s="56"/>
      <c r="BW134" s="56"/>
      <c r="BX134" s="56"/>
      <c r="BY134" s="56"/>
      <c r="BZ134" s="56"/>
      <c r="CA134" s="56"/>
      <c r="CB134" s="56"/>
      <c r="CC134" s="56"/>
      <c r="CD134" s="56"/>
      <c r="CE134" s="56"/>
      <c r="CF134" s="56"/>
      <c r="CG134" s="56"/>
      <c r="CH134" s="56"/>
      <c r="CI134" s="56"/>
      <c r="CJ134" s="56"/>
      <c r="CK134" s="56"/>
      <c r="CL134" s="56"/>
      <c r="CM134" s="56"/>
      <c r="CN134" s="56"/>
      <c r="CO134" s="35"/>
      <c r="CP134" s="36">
        <f>+SUM(D134:CO134)</f>
        <v>0</v>
      </c>
      <c r="CQ134" s="42"/>
    </row>
    <row r="135" spans="2:95" ht="12.75" hidden="1" customHeight="1" outlineLevel="1" x14ac:dyDescent="0.2">
      <c r="B135" s="40"/>
      <c r="C135" s="40" t="str">
        <f>+C174</f>
        <v>Eetu Kauppinen</v>
      </c>
      <c r="D135" s="57"/>
      <c r="E135" s="57"/>
      <c r="F135" s="57"/>
      <c r="G135" s="57"/>
      <c r="H135" s="57"/>
      <c r="I135" s="57"/>
      <c r="J135" s="57"/>
      <c r="K135" s="57"/>
      <c r="L135" s="57"/>
      <c r="M135" s="57"/>
      <c r="N135" s="57"/>
      <c r="O135" s="57"/>
      <c r="P135" s="57"/>
      <c r="Q135" s="57"/>
      <c r="R135" s="57"/>
      <c r="S135" s="57"/>
      <c r="T135" s="57"/>
      <c r="U135" s="57"/>
      <c r="V135" s="57"/>
      <c r="W135" s="57"/>
      <c r="X135" s="57"/>
      <c r="Y135" s="57"/>
      <c r="Z135" s="57"/>
      <c r="AA135" s="57"/>
      <c r="AB135" s="57"/>
      <c r="AC135" s="57"/>
      <c r="AD135" s="57"/>
      <c r="AE135" s="57"/>
      <c r="AF135" s="57"/>
      <c r="AG135" s="57"/>
      <c r="AH135" s="57"/>
      <c r="AI135" s="57"/>
      <c r="AJ135" s="57"/>
      <c r="AK135" s="57"/>
      <c r="AL135" s="57"/>
      <c r="AM135" s="57"/>
      <c r="AN135" s="57"/>
      <c r="AO135" s="57"/>
      <c r="AP135" s="57"/>
      <c r="AQ135" s="57"/>
      <c r="AR135" s="57"/>
      <c r="AS135" s="57"/>
      <c r="AT135" s="57"/>
      <c r="AU135" s="57"/>
      <c r="AV135" s="57"/>
      <c r="AW135" s="57"/>
      <c r="AX135" s="57"/>
      <c r="AY135" s="57"/>
      <c r="AZ135" s="57"/>
      <c r="BA135" s="57"/>
      <c r="BB135" s="57"/>
      <c r="BC135" s="57"/>
      <c r="BD135" s="57"/>
      <c r="BE135" s="57"/>
      <c r="BF135" s="57"/>
      <c r="BG135" s="57">
        <v>75</v>
      </c>
      <c r="BH135" s="57"/>
      <c r="BI135" s="57"/>
      <c r="BJ135" s="57"/>
      <c r="BK135" s="57"/>
      <c r="BL135" s="57"/>
      <c r="BM135" s="57"/>
      <c r="BN135" s="57"/>
      <c r="BO135" s="57"/>
      <c r="BP135" s="57"/>
      <c r="BQ135" s="57"/>
      <c r="BR135" s="57"/>
      <c r="BS135" s="57"/>
      <c r="BT135" s="57">
        <v>160</v>
      </c>
      <c r="BU135" s="57">
        <v>140</v>
      </c>
      <c r="BV135" s="57"/>
      <c r="BW135" s="57"/>
      <c r="BX135" s="57"/>
      <c r="BY135" s="57"/>
      <c r="BZ135" s="57"/>
      <c r="CA135" s="57"/>
      <c r="CB135" s="57"/>
      <c r="CC135" s="57"/>
      <c r="CD135" s="57"/>
      <c r="CE135" s="57"/>
      <c r="CF135" s="57"/>
      <c r="CG135" s="57"/>
      <c r="CH135" s="57"/>
      <c r="CI135" s="57"/>
      <c r="CJ135" s="57"/>
      <c r="CK135" s="57"/>
      <c r="CL135" s="57"/>
      <c r="CM135" s="57"/>
      <c r="CN135" s="57"/>
      <c r="CO135" s="42"/>
      <c r="CP135" s="29">
        <f>+SUM(D135:CO135)</f>
        <v>375</v>
      </c>
      <c r="CQ135" s="42"/>
    </row>
    <row r="136" spans="2:95" ht="12.75" hidden="1" customHeight="1" outlineLevel="1" x14ac:dyDescent="0.2">
      <c r="B136" s="33"/>
      <c r="C136" s="33" t="str">
        <f>+C175</f>
        <v>[Joniksen kämppis]</v>
      </c>
      <c r="D136" s="56"/>
      <c r="E136" s="56"/>
      <c r="F136" s="56"/>
      <c r="G136" s="56"/>
      <c r="H136" s="56"/>
      <c r="I136" s="56"/>
      <c r="J136" s="56"/>
      <c r="K136" s="56"/>
      <c r="L136" s="56"/>
      <c r="M136" s="56"/>
      <c r="N136" s="56"/>
      <c r="O136" s="56"/>
      <c r="P136" s="56"/>
      <c r="Q136" s="56"/>
      <c r="R136" s="56"/>
      <c r="S136" s="56"/>
      <c r="T136" s="56"/>
      <c r="U136" s="56"/>
      <c r="V136" s="56"/>
      <c r="W136" s="56"/>
      <c r="X136" s="56"/>
      <c r="Y136" s="56"/>
      <c r="Z136" s="56"/>
      <c r="AA136" s="56"/>
      <c r="AB136" s="56"/>
      <c r="AC136" s="56"/>
      <c r="AD136" s="56"/>
      <c r="AE136" s="56"/>
      <c r="AF136" s="56"/>
      <c r="AG136" s="56"/>
      <c r="AH136" s="56"/>
      <c r="AI136" s="56"/>
      <c r="AJ136" s="56"/>
      <c r="AK136" s="56"/>
      <c r="AL136" s="56"/>
      <c r="AM136" s="56"/>
      <c r="AN136" s="56"/>
      <c r="AO136" s="56"/>
      <c r="AP136" s="56"/>
      <c r="AQ136" s="56"/>
      <c r="AR136" s="56"/>
      <c r="AS136" s="56"/>
      <c r="AT136" s="56"/>
      <c r="AU136" s="56"/>
      <c r="AV136" s="56"/>
      <c r="AW136" s="56"/>
      <c r="AX136" s="56"/>
      <c r="AY136" s="56"/>
      <c r="AZ136" s="56"/>
      <c r="BA136" s="56"/>
      <c r="BB136" s="56"/>
      <c r="BC136" s="56"/>
      <c r="BD136" s="56"/>
      <c r="BE136" s="56"/>
      <c r="BF136" s="56"/>
      <c r="BG136" s="56"/>
      <c r="BH136" s="56"/>
      <c r="BI136" s="56"/>
      <c r="BJ136" s="56"/>
      <c r="BK136" s="56"/>
      <c r="BL136" s="56"/>
      <c r="BM136" s="56"/>
      <c r="BN136" s="56"/>
      <c r="BO136" s="56"/>
      <c r="BP136" s="56"/>
      <c r="BQ136" s="56"/>
      <c r="BR136" s="56"/>
      <c r="BS136" s="56"/>
      <c r="BT136" s="56"/>
      <c r="BU136" s="56"/>
      <c r="BV136" s="56"/>
      <c r="BW136" s="56"/>
      <c r="BX136" s="56"/>
      <c r="BY136" s="56"/>
      <c r="BZ136" s="56"/>
      <c r="CA136" s="56"/>
      <c r="CB136" s="56"/>
      <c r="CC136" s="56"/>
      <c r="CD136" s="56"/>
      <c r="CE136" s="56"/>
      <c r="CF136" s="56"/>
      <c r="CG136" s="56"/>
      <c r="CH136" s="56"/>
      <c r="CI136" s="56"/>
      <c r="CJ136" s="56"/>
      <c r="CK136" s="56"/>
      <c r="CL136" s="56"/>
      <c r="CM136" s="56"/>
      <c r="CN136" s="56"/>
      <c r="CO136" s="35"/>
      <c r="CP136" s="36">
        <f>+SUM(D136:CO136)</f>
        <v>0</v>
      </c>
      <c r="CQ136" s="42"/>
    </row>
    <row r="137" spans="2:95" ht="12.75" hidden="1" customHeight="1" outlineLevel="1" x14ac:dyDescent="0.2">
      <c r="B137" s="40"/>
      <c r="C137" s="40" t="str">
        <f>+C176</f>
        <v>Tresor Banzuzi</v>
      </c>
      <c r="D137" s="57"/>
      <c r="E137" s="57"/>
      <c r="F137" s="57"/>
      <c r="G137" s="57"/>
      <c r="H137" s="57"/>
      <c r="I137" s="57"/>
      <c r="J137" s="57"/>
      <c r="K137" s="57"/>
      <c r="L137" s="57"/>
      <c r="M137" s="57"/>
      <c r="N137" s="57"/>
      <c r="O137" s="57"/>
      <c r="P137" s="57"/>
      <c r="Q137" s="57"/>
      <c r="R137" s="57"/>
      <c r="S137" s="57"/>
      <c r="T137" s="57"/>
      <c r="U137" s="57"/>
      <c r="V137" s="57"/>
      <c r="W137" s="57"/>
      <c r="X137" s="57"/>
      <c r="Y137" s="57"/>
      <c r="Z137" s="57"/>
      <c r="AA137" s="57"/>
      <c r="AB137" s="57"/>
      <c r="AC137" s="57"/>
      <c r="AD137" s="57"/>
      <c r="AE137" s="57"/>
      <c r="AF137" s="57"/>
      <c r="AG137" s="57"/>
      <c r="AH137" s="57"/>
      <c r="AI137" s="57"/>
      <c r="AJ137" s="57"/>
      <c r="AK137" s="57"/>
      <c r="AL137" s="57"/>
      <c r="AM137" s="57"/>
      <c r="AN137" s="57"/>
      <c r="AO137" s="57"/>
      <c r="AP137" s="57"/>
      <c r="AQ137" s="57"/>
      <c r="AR137" s="57"/>
      <c r="AS137" s="57"/>
      <c r="AT137" s="57"/>
      <c r="AU137" s="57"/>
      <c r="AV137" s="57"/>
      <c r="AW137" s="57"/>
      <c r="AX137" s="57"/>
      <c r="AY137" s="57"/>
      <c r="AZ137" s="57"/>
      <c r="BA137" s="57"/>
      <c r="BB137" s="57"/>
      <c r="BC137" s="57"/>
      <c r="BD137" s="57"/>
      <c r="BE137" s="57"/>
      <c r="BF137" s="57"/>
      <c r="BG137" s="57"/>
      <c r="BH137" s="57"/>
      <c r="BI137" s="57"/>
      <c r="BJ137" s="57"/>
      <c r="BK137" s="57"/>
      <c r="BL137" s="57"/>
      <c r="BM137" s="57"/>
      <c r="BN137" s="57"/>
      <c r="BO137" s="57"/>
      <c r="BP137" s="57"/>
      <c r="BQ137" s="57"/>
      <c r="BR137" s="57"/>
      <c r="BS137" s="57"/>
      <c r="BT137" s="57"/>
      <c r="BU137" s="57"/>
      <c r="BV137" s="57"/>
      <c r="BW137" s="57"/>
      <c r="BX137" s="57"/>
      <c r="BY137" s="57"/>
      <c r="BZ137" s="57"/>
      <c r="CA137" s="57"/>
      <c r="CB137" s="57"/>
      <c r="CC137" s="57"/>
      <c r="CD137" s="57"/>
      <c r="CE137" s="57"/>
      <c r="CF137" s="57"/>
      <c r="CG137" s="57"/>
      <c r="CH137" s="57"/>
      <c r="CI137" s="57"/>
      <c r="CJ137" s="57"/>
      <c r="CK137" s="57"/>
      <c r="CL137" s="57"/>
      <c r="CM137" s="57"/>
      <c r="CN137" s="57"/>
      <c r="CO137" s="42"/>
      <c r="CP137" s="29">
        <f>+SUM(D137:CO137)</f>
        <v>0</v>
      </c>
      <c r="CQ137" s="42"/>
    </row>
    <row r="138" spans="2:95" ht="12.75" hidden="1" customHeight="1" outlineLevel="1" x14ac:dyDescent="0.2">
      <c r="B138" s="33"/>
      <c r="C138" s="33" t="str">
        <f>+C177</f>
        <v>Aleksi Järveläinen</v>
      </c>
      <c r="D138" s="56"/>
      <c r="E138" s="56"/>
      <c r="F138" s="56"/>
      <c r="G138" s="56"/>
      <c r="H138" s="56"/>
      <c r="I138" s="56"/>
      <c r="J138" s="56"/>
      <c r="K138" s="56"/>
      <c r="L138" s="56"/>
      <c r="M138" s="56"/>
      <c r="N138" s="56"/>
      <c r="O138" s="56"/>
      <c r="P138" s="56"/>
      <c r="Q138" s="56"/>
      <c r="R138" s="56"/>
      <c r="S138" s="56"/>
      <c r="T138" s="56"/>
      <c r="U138" s="56"/>
      <c r="V138" s="56"/>
      <c r="W138" s="56"/>
      <c r="X138" s="56"/>
      <c r="Y138" s="56"/>
      <c r="Z138" s="56"/>
      <c r="AA138" s="56"/>
      <c r="AB138" s="56"/>
      <c r="AC138" s="56"/>
      <c r="AD138" s="56"/>
      <c r="AE138" s="56"/>
      <c r="AF138" s="56"/>
      <c r="AG138" s="56"/>
      <c r="AH138" s="56"/>
      <c r="AI138" s="56"/>
      <c r="AJ138" s="56"/>
      <c r="AK138" s="56"/>
      <c r="AL138" s="56"/>
      <c r="AM138" s="56"/>
      <c r="AN138" s="56"/>
      <c r="AO138" s="56"/>
      <c r="AP138" s="56"/>
      <c r="AQ138" s="56"/>
      <c r="AR138" s="56"/>
      <c r="AS138" s="56"/>
      <c r="AT138" s="56"/>
      <c r="AU138" s="56"/>
      <c r="AV138" s="56"/>
      <c r="AW138" s="56"/>
      <c r="AX138" s="56"/>
      <c r="AY138" s="56"/>
      <c r="AZ138" s="56"/>
      <c r="BA138" s="56"/>
      <c r="BB138" s="56"/>
      <c r="BC138" s="56"/>
      <c r="BD138" s="56"/>
      <c r="BE138" s="56"/>
      <c r="BF138" s="56"/>
      <c r="BG138" s="56"/>
      <c r="BH138" s="56"/>
      <c r="BI138" s="56"/>
      <c r="BJ138" s="56"/>
      <c r="BK138" s="56"/>
      <c r="BL138" s="56"/>
      <c r="BM138" s="56"/>
      <c r="BN138" s="56"/>
      <c r="BO138" s="56"/>
      <c r="BP138" s="56"/>
      <c r="BQ138" s="56"/>
      <c r="BR138" s="56"/>
      <c r="BS138" s="56"/>
      <c r="BT138" s="56"/>
      <c r="BU138" s="56"/>
      <c r="BV138" s="56"/>
      <c r="BW138" s="56"/>
      <c r="BX138" s="56"/>
      <c r="BY138" s="56"/>
      <c r="BZ138" s="56"/>
      <c r="CA138" s="56"/>
      <c r="CB138" s="56"/>
      <c r="CC138" s="56"/>
      <c r="CD138" s="56"/>
      <c r="CE138" s="56"/>
      <c r="CF138" s="56"/>
      <c r="CG138" s="56"/>
      <c r="CH138" s="56"/>
      <c r="CI138" s="56"/>
      <c r="CJ138" s="56"/>
      <c r="CK138" s="56"/>
      <c r="CL138" s="56"/>
      <c r="CM138" s="56"/>
      <c r="CN138" s="56"/>
      <c r="CO138" s="35"/>
      <c r="CP138" s="36">
        <f>+SUM(D138:CO138)</f>
        <v>0</v>
      </c>
      <c r="CQ138" s="42"/>
    </row>
    <row r="139" spans="2:95" ht="12.75" hidden="1" customHeight="1" outlineLevel="1" x14ac:dyDescent="0.2">
      <c r="B139" s="40"/>
      <c r="C139" s="40" t="str">
        <f>+C178</f>
        <v>Sami Hätälä</v>
      </c>
      <c r="D139" s="57"/>
      <c r="E139" s="57"/>
      <c r="F139" s="57"/>
      <c r="G139" s="57"/>
      <c r="H139" s="57"/>
      <c r="I139" s="57"/>
      <c r="J139" s="57"/>
      <c r="K139" s="57"/>
      <c r="L139" s="57"/>
      <c r="M139" s="57"/>
      <c r="N139" s="57"/>
      <c r="O139" s="57"/>
      <c r="P139" s="57"/>
      <c r="Q139" s="57"/>
      <c r="R139" s="57"/>
      <c r="S139" s="57"/>
      <c r="T139" s="57"/>
      <c r="U139" s="57"/>
      <c r="V139" s="57"/>
      <c r="W139" s="57"/>
      <c r="X139" s="57"/>
      <c r="Y139" s="57"/>
      <c r="Z139" s="57"/>
      <c r="AA139" s="57"/>
      <c r="AB139" s="57"/>
      <c r="AC139" s="57"/>
      <c r="AD139" s="57"/>
      <c r="AE139" s="57"/>
      <c r="AF139" s="57"/>
      <c r="AG139" s="57"/>
      <c r="AH139" s="57"/>
      <c r="AI139" s="57"/>
      <c r="AJ139" s="57"/>
      <c r="AK139" s="57"/>
      <c r="AL139" s="57"/>
      <c r="AM139" s="57"/>
      <c r="AN139" s="57"/>
      <c r="AO139" s="57"/>
      <c r="AP139" s="57"/>
      <c r="AQ139" s="57"/>
      <c r="AR139" s="57"/>
      <c r="AS139" s="57"/>
      <c r="AT139" s="57"/>
      <c r="AU139" s="57"/>
      <c r="AV139" s="57"/>
      <c r="AW139" s="57"/>
      <c r="AX139" s="57"/>
      <c r="AY139" s="57"/>
      <c r="AZ139" s="57"/>
      <c r="BA139" s="57"/>
      <c r="BB139" s="57"/>
      <c r="BC139" s="57"/>
      <c r="BD139" s="57"/>
      <c r="BE139" s="57"/>
      <c r="BF139" s="57"/>
      <c r="BG139" s="57"/>
      <c r="BH139" s="57"/>
      <c r="BI139" s="57"/>
      <c r="BJ139" s="57"/>
      <c r="BK139" s="57"/>
      <c r="BL139" s="57"/>
      <c r="BM139" s="57"/>
      <c r="BN139" s="57"/>
      <c r="BO139" s="57"/>
      <c r="BP139" s="57"/>
      <c r="BQ139" s="57"/>
      <c r="BR139" s="57"/>
      <c r="BS139" s="57"/>
      <c r="BT139" s="57"/>
      <c r="BU139" s="57"/>
      <c r="BV139" s="57"/>
      <c r="BW139" s="57"/>
      <c r="BX139" s="57"/>
      <c r="BY139" s="57"/>
      <c r="BZ139" s="57"/>
      <c r="CA139" s="57"/>
      <c r="CB139" s="57"/>
      <c r="CC139" s="57"/>
      <c r="CD139" s="57"/>
      <c r="CE139" s="57"/>
      <c r="CF139" s="57"/>
      <c r="CG139" s="57"/>
      <c r="CH139" s="57"/>
      <c r="CI139" s="57"/>
      <c r="CJ139" s="57"/>
      <c r="CK139" s="57"/>
      <c r="CL139" s="57"/>
      <c r="CM139" s="57"/>
      <c r="CN139" s="57"/>
      <c r="CO139" s="42"/>
      <c r="CP139" s="29">
        <f>+SUM(D139:CO139)</f>
        <v>0</v>
      </c>
      <c r="CQ139" s="42"/>
    </row>
    <row r="140" spans="2:95" ht="12.75" hidden="1" customHeight="1" outlineLevel="1" x14ac:dyDescent="0.2">
      <c r="B140" s="33"/>
      <c r="C140" s="33" t="str">
        <f>+C179</f>
        <v>Artturi Jalli</v>
      </c>
      <c r="D140" s="56"/>
      <c r="E140" s="56"/>
      <c r="F140" s="56"/>
      <c r="G140" s="56"/>
      <c r="H140" s="56"/>
      <c r="I140" s="56"/>
      <c r="J140" s="56"/>
      <c r="K140" s="56"/>
      <c r="L140" s="56"/>
      <c r="M140" s="56"/>
      <c r="N140" s="56"/>
      <c r="O140" s="56"/>
      <c r="P140" s="56"/>
      <c r="Q140" s="56"/>
      <c r="R140" s="56"/>
      <c r="S140" s="56"/>
      <c r="T140" s="56"/>
      <c r="U140" s="56"/>
      <c r="V140" s="56"/>
      <c r="W140" s="56"/>
      <c r="X140" s="56"/>
      <c r="Y140" s="56"/>
      <c r="Z140" s="56"/>
      <c r="AA140" s="56"/>
      <c r="AB140" s="56"/>
      <c r="AC140" s="56"/>
      <c r="AD140" s="56"/>
      <c r="AE140" s="56"/>
      <c r="AF140" s="56"/>
      <c r="AG140" s="56"/>
      <c r="AH140" s="56"/>
      <c r="AI140" s="56"/>
      <c r="AJ140" s="56"/>
      <c r="AK140" s="56"/>
      <c r="AL140" s="56"/>
      <c r="AM140" s="56"/>
      <c r="AN140" s="56"/>
      <c r="AO140" s="56"/>
      <c r="AP140" s="56"/>
      <c r="AQ140" s="56"/>
      <c r="AR140" s="56"/>
      <c r="AS140" s="56"/>
      <c r="AT140" s="56"/>
      <c r="AU140" s="56"/>
      <c r="AV140" s="56"/>
      <c r="AW140" s="56"/>
      <c r="AX140" s="56"/>
      <c r="AY140" s="56"/>
      <c r="AZ140" s="56"/>
      <c r="BA140" s="56"/>
      <c r="BB140" s="56"/>
      <c r="BC140" s="56"/>
      <c r="BD140" s="56"/>
      <c r="BE140" s="56"/>
      <c r="BF140" s="56"/>
      <c r="BG140" s="56"/>
      <c r="BH140" s="56"/>
      <c r="BI140" s="56"/>
      <c r="BJ140" s="56"/>
      <c r="BK140" s="56"/>
      <c r="BL140" s="56"/>
      <c r="BM140" s="56"/>
      <c r="BN140" s="56"/>
      <c r="BO140" s="56"/>
      <c r="BP140" s="56"/>
      <c r="BQ140" s="56"/>
      <c r="BR140" s="56"/>
      <c r="BS140" s="56"/>
      <c r="BT140" s="56"/>
      <c r="BU140" s="56"/>
      <c r="BV140" s="56"/>
      <c r="BW140" s="56"/>
      <c r="BX140" s="56"/>
      <c r="BY140" s="56"/>
      <c r="BZ140" s="56"/>
      <c r="CA140" s="56"/>
      <c r="CB140" s="56"/>
      <c r="CC140" s="56"/>
      <c r="CD140" s="56"/>
      <c r="CE140" s="56">
        <v>176</v>
      </c>
      <c r="CF140" s="56"/>
      <c r="CG140" s="56"/>
      <c r="CH140" s="56"/>
      <c r="CI140" s="56"/>
      <c r="CJ140" s="56"/>
      <c r="CK140" s="56"/>
      <c r="CL140" s="56"/>
      <c r="CM140" s="56"/>
      <c r="CN140" s="56"/>
      <c r="CO140" s="35"/>
      <c r="CP140" s="36">
        <f>+SUM(D140:CO140)</f>
        <v>176</v>
      </c>
      <c r="CQ140" s="42"/>
    </row>
    <row r="141" spans="2:95" ht="12.75" hidden="1" customHeight="1" outlineLevel="1" x14ac:dyDescent="0.2">
      <c r="B141" s="40"/>
      <c r="C141" s="40" t="str">
        <f>+C180</f>
        <v>Aapo Kinnari</v>
      </c>
      <c r="D141" s="57"/>
      <c r="E141" s="57"/>
      <c r="F141" s="57"/>
      <c r="G141" s="57"/>
      <c r="H141" s="57"/>
      <c r="I141" s="57"/>
      <c r="J141" s="57"/>
      <c r="K141" s="57"/>
      <c r="L141" s="57"/>
      <c r="M141" s="57"/>
      <c r="N141" s="57"/>
      <c r="O141" s="57"/>
      <c r="P141" s="57"/>
      <c r="Q141" s="57"/>
      <c r="R141" s="57"/>
      <c r="S141" s="57"/>
      <c r="T141" s="57"/>
      <c r="U141" s="57"/>
      <c r="V141" s="57"/>
      <c r="W141" s="57"/>
      <c r="X141" s="57"/>
      <c r="Y141" s="57"/>
      <c r="Z141" s="57"/>
      <c r="AA141" s="57"/>
      <c r="AB141" s="57"/>
      <c r="AC141" s="57"/>
      <c r="AD141" s="57"/>
      <c r="AE141" s="57"/>
      <c r="AF141" s="57"/>
      <c r="AG141" s="57"/>
      <c r="AH141" s="57"/>
      <c r="AI141" s="57"/>
      <c r="AJ141" s="57"/>
      <c r="AK141" s="57"/>
      <c r="AL141" s="57"/>
      <c r="AM141" s="57"/>
      <c r="AN141" s="57"/>
      <c r="AO141" s="57"/>
      <c r="AP141" s="57"/>
      <c r="AQ141" s="57"/>
      <c r="AR141" s="57"/>
      <c r="AS141" s="57"/>
      <c r="AT141" s="57"/>
      <c r="AU141" s="57"/>
      <c r="AV141" s="57"/>
      <c r="AW141" s="57"/>
      <c r="AX141" s="57"/>
      <c r="AY141" s="57"/>
      <c r="AZ141" s="57"/>
      <c r="BA141" s="57"/>
      <c r="BB141" s="57"/>
      <c r="BC141" s="57"/>
      <c r="BD141" s="57"/>
      <c r="BE141" s="57"/>
      <c r="BF141" s="57"/>
      <c r="BG141" s="57"/>
      <c r="BH141" s="57"/>
      <c r="BI141" s="57"/>
      <c r="BJ141" s="57"/>
      <c r="BK141" s="57"/>
      <c r="BL141" s="57"/>
      <c r="BM141" s="57"/>
      <c r="BN141" s="57"/>
      <c r="BO141" s="57"/>
      <c r="BP141" s="57"/>
      <c r="BQ141" s="57"/>
      <c r="BR141" s="57"/>
      <c r="BS141" s="57"/>
      <c r="BT141" s="57"/>
      <c r="BU141" s="57"/>
      <c r="BV141" s="57"/>
      <c r="BW141" s="57"/>
      <c r="BX141" s="57"/>
      <c r="BY141" s="57"/>
      <c r="BZ141" s="57"/>
      <c r="CA141" s="57">
        <v>45</v>
      </c>
      <c r="CB141" s="57"/>
      <c r="CC141" s="57"/>
      <c r="CD141" s="57"/>
      <c r="CE141" s="57"/>
      <c r="CF141" s="57"/>
      <c r="CG141" s="57"/>
      <c r="CH141" s="57"/>
      <c r="CI141" s="57"/>
      <c r="CJ141" s="57"/>
      <c r="CK141" s="57"/>
      <c r="CL141" s="57"/>
      <c r="CM141" s="57"/>
      <c r="CN141" s="57"/>
      <c r="CO141" s="42"/>
      <c r="CP141" s="29">
        <f>+SUM(D141:CO141)</f>
        <v>45</v>
      </c>
      <c r="CQ141" s="42"/>
    </row>
    <row r="142" spans="2:95" ht="12.75" hidden="1" customHeight="1" outlineLevel="1" x14ac:dyDescent="0.2">
      <c r="B142" s="33"/>
      <c r="C142" s="33" t="str">
        <f>+C181</f>
        <v>Erik Kymäläinen</v>
      </c>
      <c r="D142" s="56"/>
      <c r="E142" s="56"/>
      <c r="F142" s="56"/>
      <c r="G142" s="56"/>
      <c r="H142" s="56"/>
      <c r="I142" s="56"/>
      <c r="J142" s="56"/>
      <c r="K142" s="56"/>
      <c r="L142" s="56"/>
      <c r="M142" s="56"/>
      <c r="N142" s="56"/>
      <c r="O142" s="56"/>
      <c r="P142" s="56"/>
      <c r="Q142" s="56"/>
      <c r="R142" s="56"/>
      <c r="S142" s="56"/>
      <c r="T142" s="56"/>
      <c r="U142" s="56"/>
      <c r="V142" s="56"/>
      <c r="W142" s="56"/>
      <c r="X142" s="56"/>
      <c r="Y142" s="56"/>
      <c r="Z142" s="56"/>
      <c r="AA142" s="56"/>
      <c r="AB142" s="56"/>
      <c r="AC142" s="56"/>
      <c r="AD142" s="56"/>
      <c r="AE142" s="56"/>
      <c r="AF142" s="56"/>
      <c r="AG142" s="56"/>
      <c r="AH142" s="56"/>
      <c r="AI142" s="56"/>
      <c r="AJ142" s="56"/>
      <c r="AK142" s="56"/>
      <c r="AL142" s="56"/>
      <c r="AM142" s="56"/>
      <c r="AN142" s="56"/>
      <c r="AO142" s="56"/>
      <c r="AP142" s="56"/>
      <c r="AQ142" s="56"/>
      <c r="AR142" s="56"/>
      <c r="AS142" s="56"/>
      <c r="AT142" s="56"/>
      <c r="AU142" s="56"/>
      <c r="AV142" s="56"/>
      <c r="AW142" s="56"/>
      <c r="AX142" s="56"/>
      <c r="AY142" s="56"/>
      <c r="AZ142" s="56"/>
      <c r="BA142" s="56"/>
      <c r="BB142" s="56"/>
      <c r="BC142" s="56"/>
      <c r="BD142" s="56"/>
      <c r="BE142" s="56"/>
      <c r="BF142" s="56"/>
      <c r="BG142" s="56"/>
      <c r="BH142" s="56"/>
      <c r="BI142" s="56"/>
      <c r="BJ142" s="56"/>
      <c r="BK142" s="56"/>
      <c r="BL142" s="56"/>
      <c r="BM142" s="56"/>
      <c r="BN142" s="56"/>
      <c r="BO142" s="56"/>
      <c r="BP142" s="56"/>
      <c r="BQ142" s="56"/>
      <c r="BR142" s="56"/>
      <c r="BS142" s="56"/>
      <c r="BT142" s="56"/>
      <c r="BU142" s="56"/>
      <c r="BV142" s="56"/>
      <c r="BW142" s="56"/>
      <c r="BX142" s="56"/>
      <c r="BY142" s="56"/>
      <c r="BZ142" s="56"/>
      <c r="CA142" s="56"/>
      <c r="CB142" s="56"/>
      <c r="CC142" s="56"/>
      <c r="CD142" s="56"/>
      <c r="CE142" s="56"/>
      <c r="CF142" s="56"/>
      <c r="CG142" s="56"/>
      <c r="CH142" s="56"/>
      <c r="CI142" s="56"/>
      <c r="CJ142" s="56"/>
      <c r="CK142" s="56"/>
      <c r="CL142" s="56"/>
      <c r="CM142" s="56"/>
      <c r="CN142" s="56"/>
      <c r="CO142" s="35"/>
      <c r="CP142" s="36">
        <f>+SUM(D142:CO142)</f>
        <v>0</v>
      </c>
      <c r="CQ142" s="42"/>
    </row>
    <row r="143" spans="2:95" ht="12.75" hidden="1" customHeight="1" outlineLevel="1" x14ac:dyDescent="0.2">
      <c r="B143" s="40"/>
      <c r="C143" s="40" t="str">
        <f>+C182</f>
        <v>Vilko Repo</v>
      </c>
      <c r="D143" s="57"/>
      <c r="E143" s="57"/>
      <c r="F143" s="57"/>
      <c r="G143" s="57"/>
      <c r="H143" s="57"/>
      <c r="I143" s="57"/>
      <c r="J143" s="57"/>
      <c r="K143" s="57"/>
      <c r="L143" s="57"/>
      <c r="M143" s="57"/>
      <c r="N143" s="57"/>
      <c r="O143" s="57"/>
      <c r="P143" s="57"/>
      <c r="Q143" s="57"/>
      <c r="R143" s="57"/>
      <c r="S143" s="57"/>
      <c r="T143" s="57"/>
      <c r="U143" s="57"/>
      <c r="V143" s="57"/>
      <c r="W143" s="57"/>
      <c r="X143" s="57"/>
      <c r="Y143" s="57"/>
      <c r="Z143" s="57"/>
      <c r="AA143" s="57"/>
      <c r="AB143" s="57"/>
      <c r="AC143" s="57"/>
      <c r="AD143" s="57"/>
      <c r="AE143" s="57"/>
      <c r="AF143" s="57"/>
      <c r="AG143" s="57"/>
      <c r="AH143" s="57"/>
      <c r="AI143" s="57"/>
      <c r="AJ143" s="57"/>
      <c r="AK143" s="57"/>
      <c r="AL143" s="57"/>
      <c r="AM143" s="57"/>
      <c r="AN143" s="57"/>
      <c r="AO143" s="57"/>
      <c r="AP143" s="57"/>
      <c r="AQ143" s="57"/>
      <c r="AR143" s="57"/>
      <c r="AS143" s="57"/>
      <c r="AT143" s="57"/>
      <c r="AU143" s="57"/>
      <c r="AV143" s="57"/>
      <c r="AW143" s="57"/>
      <c r="AX143" s="57"/>
      <c r="AY143" s="57"/>
      <c r="AZ143" s="57"/>
      <c r="BA143" s="57"/>
      <c r="BB143" s="57"/>
      <c r="BC143" s="57"/>
      <c r="BD143" s="57"/>
      <c r="BE143" s="57"/>
      <c r="BF143" s="57"/>
      <c r="BG143" s="57"/>
      <c r="BH143" s="57"/>
      <c r="BI143" s="57"/>
      <c r="BJ143" s="57"/>
      <c r="BK143" s="57"/>
      <c r="BL143" s="57"/>
      <c r="BM143" s="57"/>
      <c r="BN143" s="57"/>
      <c r="BO143" s="57"/>
      <c r="BP143" s="57"/>
      <c r="BQ143" s="57"/>
      <c r="BR143" s="57"/>
      <c r="BS143" s="57"/>
      <c r="BT143" s="57"/>
      <c r="BU143" s="57"/>
      <c r="BV143" s="57"/>
      <c r="BW143" s="57"/>
      <c r="BX143" s="57"/>
      <c r="BY143" s="57"/>
      <c r="BZ143" s="57"/>
      <c r="CA143" s="57"/>
      <c r="CB143" s="57"/>
      <c r="CC143" s="57"/>
      <c r="CD143" s="57"/>
      <c r="CE143" s="57"/>
      <c r="CF143" s="57"/>
      <c r="CG143" s="57"/>
      <c r="CH143" s="57"/>
      <c r="CI143" s="57"/>
      <c r="CJ143" s="57"/>
      <c r="CK143" s="57"/>
      <c r="CL143" s="57"/>
      <c r="CM143" s="57"/>
      <c r="CN143" s="57"/>
      <c r="CO143" s="42"/>
      <c r="CP143" s="29">
        <f>+SUM(D143:CO143)</f>
        <v>0</v>
      </c>
      <c r="CQ143" s="42"/>
    </row>
    <row r="144" spans="2:95" ht="12.75" hidden="1" customHeight="1" outlineLevel="1" x14ac:dyDescent="0.2">
      <c r="B144" s="33"/>
      <c r="C144" s="33" t="str">
        <f>+C183</f>
        <v>Vili Ohma</v>
      </c>
      <c r="D144" s="56"/>
      <c r="E144" s="56"/>
      <c r="F144" s="56"/>
      <c r="G144" s="56"/>
      <c r="H144" s="56"/>
      <c r="I144" s="56"/>
      <c r="J144" s="56"/>
      <c r="K144" s="56"/>
      <c r="L144" s="56"/>
      <c r="M144" s="56"/>
      <c r="N144" s="56"/>
      <c r="O144" s="56"/>
      <c r="P144" s="56"/>
      <c r="Q144" s="56"/>
      <c r="R144" s="56"/>
      <c r="S144" s="56"/>
      <c r="T144" s="56"/>
      <c r="U144" s="56"/>
      <c r="V144" s="56"/>
      <c r="W144" s="56"/>
      <c r="X144" s="56"/>
      <c r="Y144" s="56"/>
      <c r="Z144" s="56"/>
      <c r="AA144" s="56"/>
      <c r="AB144" s="56"/>
      <c r="AC144" s="56"/>
      <c r="AD144" s="56"/>
      <c r="AE144" s="56"/>
      <c r="AF144" s="56"/>
      <c r="AG144" s="56"/>
      <c r="AH144" s="56"/>
      <c r="AI144" s="56"/>
      <c r="AJ144" s="56"/>
      <c r="AK144" s="56"/>
      <c r="AL144" s="56"/>
      <c r="AM144" s="56"/>
      <c r="AN144" s="56"/>
      <c r="AO144" s="56"/>
      <c r="AP144" s="56"/>
      <c r="AQ144" s="56"/>
      <c r="AR144" s="56"/>
      <c r="AS144" s="56"/>
      <c r="AT144" s="56"/>
      <c r="AU144" s="56"/>
      <c r="AV144" s="56"/>
      <c r="AW144" s="56"/>
      <c r="AX144" s="56"/>
      <c r="AY144" s="56"/>
      <c r="AZ144" s="56"/>
      <c r="BA144" s="56"/>
      <c r="BB144" s="56"/>
      <c r="BC144" s="56"/>
      <c r="BD144" s="56"/>
      <c r="BE144" s="56"/>
      <c r="BF144" s="56"/>
      <c r="BG144" s="56"/>
      <c r="BH144" s="56"/>
      <c r="BI144" s="56"/>
      <c r="BJ144" s="56"/>
      <c r="BK144" s="56"/>
      <c r="BL144" s="56"/>
      <c r="BM144" s="56"/>
      <c r="BN144" s="56"/>
      <c r="BO144" s="56"/>
      <c r="BP144" s="56"/>
      <c r="BQ144" s="56"/>
      <c r="BR144" s="56"/>
      <c r="BS144" s="56"/>
      <c r="BT144" s="56"/>
      <c r="BU144" s="56"/>
      <c r="BV144" s="56"/>
      <c r="BW144" s="56"/>
      <c r="BX144" s="56"/>
      <c r="BY144" s="56"/>
      <c r="BZ144" s="56"/>
      <c r="CA144" s="56"/>
      <c r="CB144" s="56"/>
      <c r="CC144" s="56"/>
      <c r="CD144" s="56"/>
      <c r="CE144" s="56"/>
      <c r="CF144" s="56"/>
      <c r="CG144" s="56">
        <v>270</v>
      </c>
      <c r="CH144" s="56"/>
      <c r="CI144" s="56"/>
      <c r="CJ144" s="56"/>
      <c r="CK144" s="56"/>
      <c r="CL144" s="56"/>
      <c r="CM144" s="56"/>
      <c r="CN144" s="56"/>
      <c r="CO144" s="35"/>
      <c r="CP144" s="36">
        <f>+SUM(D144:CO144)</f>
        <v>270</v>
      </c>
      <c r="CQ144" s="42"/>
    </row>
    <row r="145" spans="2:102" ht="12.75" hidden="1" customHeight="1" outlineLevel="1" x14ac:dyDescent="0.2">
      <c r="B145" s="40"/>
      <c r="C145" s="40" t="str">
        <f>+C184</f>
        <v>Tuomas Haapalehto</v>
      </c>
      <c r="D145" s="57"/>
      <c r="E145" s="57"/>
      <c r="F145" s="57"/>
      <c r="G145" s="57"/>
      <c r="H145" s="57"/>
      <c r="I145" s="57"/>
      <c r="J145" s="57"/>
      <c r="K145" s="57"/>
      <c r="L145" s="57"/>
      <c r="M145" s="57"/>
      <c r="N145" s="57"/>
      <c r="O145" s="57"/>
      <c r="P145" s="57"/>
      <c r="Q145" s="57"/>
      <c r="R145" s="57"/>
      <c r="S145" s="57"/>
      <c r="T145" s="57"/>
      <c r="U145" s="57"/>
      <c r="V145" s="57"/>
      <c r="W145" s="57"/>
      <c r="X145" s="57"/>
      <c r="Y145" s="57"/>
      <c r="Z145" s="57"/>
      <c r="AA145" s="57"/>
      <c r="AB145" s="57"/>
      <c r="AC145" s="57"/>
      <c r="AD145" s="57"/>
      <c r="AE145" s="57"/>
      <c r="AF145" s="57"/>
      <c r="AG145" s="57"/>
      <c r="AH145" s="57"/>
      <c r="AI145" s="57"/>
      <c r="AJ145" s="57"/>
      <c r="AK145" s="57"/>
      <c r="AL145" s="57"/>
      <c r="AM145" s="57"/>
      <c r="AN145" s="57"/>
      <c r="AO145" s="57"/>
      <c r="AP145" s="57"/>
      <c r="AQ145" s="57"/>
      <c r="AR145" s="57"/>
      <c r="AS145" s="57"/>
      <c r="AT145" s="57"/>
      <c r="AU145" s="57"/>
      <c r="AV145" s="57"/>
      <c r="AW145" s="57"/>
      <c r="AX145" s="57"/>
      <c r="AY145" s="57"/>
      <c r="AZ145" s="57"/>
      <c r="BA145" s="57"/>
      <c r="BB145" s="57"/>
      <c r="BC145" s="57"/>
      <c r="BD145" s="57"/>
      <c r="BE145" s="57"/>
      <c r="BF145" s="57"/>
      <c r="BG145" s="57"/>
      <c r="BH145" s="57"/>
      <c r="BI145" s="57"/>
      <c r="BJ145" s="57"/>
      <c r="BK145" s="57"/>
      <c r="BL145" s="57"/>
      <c r="BM145" s="57"/>
      <c r="BN145" s="57"/>
      <c r="BO145" s="57"/>
      <c r="BP145" s="57"/>
      <c r="BQ145" s="57"/>
      <c r="BR145" s="57"/>
      <c r="BS145" s="57"/>
      <c r="BT145" s="57"/>
      <c r="BU145" s="57"/>
      <c r="BV145" s="57"/>
      <c r="BW145" s="57"/>
      <c r="BX145" s="57"/>
      <c r="BY145" s="57"/>
      <c r="BZ145" s="57"/>
      <c r="CA145" s="57"/>
      <c r="CB145" s="57"/>
      <c r="CC145" s="57"/>
      <c r="CD145" s="57"/>
      <c r="CE145" s="57"/>
      <c r="CF145" s="57"/>
      <c r="CG145" s="57"/>
      <c r="CH145" s="57"/>
      <c r="CI145" s="57"/>
      <c r="CJ145" s="57"/>
      <c r="CK145" s="57"/>
      <c r="CL145" s="57"/>
      <c r="CM145" s="57"/>
      <c r="CN145" s="57"/>
      <c r="CO145" s="42"/>
      <c r="CP145" s="29">
        <f>+SUM(D145:CO145)</f>
        <v>0</v>
      </c>
      <c r="CQ145" s="42"/>
    </row>
    <row r="146" spans="2:102" s="67" customFormat="1" ht="6" hidden="1" customHeight="1" outlineLevel="1" x14ac:dyDescent="0.2">
      <c r="B146" s="63"/>
      <c r="C146" s="63"/>
      <c r="D146" s="64"/>
      <c r="E146" s="64"/>
      <c r="F146" s="64"/>
      <c r="G146" s="64"/>
      <c r="H146" s="64"/>
      <c r="I146" s="64"/>
      <c r="J146" s="64"/>
      <c r="K146" s="64"/>
      <c r="L146" s="64"/>
      <c r="M146" s="64"/>
      <c r="N146" s="64"/>
      <c r="O146" s="64"/>
      <c r="P146" s="64"/>
      <c r="Q146" s="64"/>
      <c r="R146" s="64"/>
      <c r="S146" s="64"/>
      <c r="T146" s="64"/>
      <c r="U146" s="64"/>
      <c r="V146" s="64"/>
      <c r="W146" s="64"/>
      <c r="X146" s="64"/>
      <c r="Y146" s="64"/>
      <c r="Z146" s="64"/>
      <c r="AA146" s="64"/>
      <c r="AB146" s="64"/>
      <c r="AC146" s="64"/>
      <c r="AD146" s="64"/>
      <c r="AE146" s="64"/>
      <c r="AF146" s="64"/>
      <c r="AG146" s="64"/>
      <c r="AH146" s="64"/>
      <c r="AI146" s="64"/>
      <c r="AJ146" s="64"/>
      <c r="AK146" s="64"/>
      <c r="AL146" s="64"/>
      <c r="AM146" s="64"/>
      <c r="AN146" s="64"/>
      <c r="AO146" s="64"/>
      <c r="AP146" s="64"/>
      <c r="AQ146" s="64"/>
      <c r="AR146" s="64"/>
      <c r="AS146" s="64"/>
      <c r="AT146" s="64"/>
      <c r="AU146" s="64"/>
      <c r="AV146" s="64"/>
      <c r="AW146" s="64"/>
      <c r="AX146" s="64"/>
      <c r="AY146" s="64"/>
      <c r="AZ146" s="64"/>
      <c r="BA146" s="64"/>
      <c r="BB146" s="64"/>
      <c r="BC146" s="64"/>
      <c r="BD146" s="64"/>
      <c r="BE146" s="64"/>
      <c r="BF146" s="64"/>
      <c r="BG146" s="64"/>
      <c r="BH146" s="64"/>
      <c r="BI146" s="64"/>
      <c r="BJ146" s="64"/>
      <c r="BK146" s="64"/>
      <c r="BL146" s="64"/>
      <c r="BM146" s="64"/>
      <c r="BN146" s="64"/>
      <c r="BO146" s="64"/>
      <c r="BP146" s="64"/>
      <c r="BQ146" s="64"/>
      <c r="BR146" s="64"/>
      <c r="BS146" s="64"/>
      <c r="BT146" s="64"/>
      <c r="BU146" s="64"/>
      <c r="BV146" s="64"/>
      <c r="BW146" s="64"/>
      <c r="BX146" s="64"/>
      <c r="BY146" s="64"/>
      <c r="BZ146" s="64"/>
      <c r="CA146" s="64"/>
      <c r="CB146" s="64"/>
      <c r="CC146" s="64"/>
      <c r="CD146" s="64"/>
      <c r="CE146" s="64"/>
      <c r="CF146" s="64"/>
      <c r="CG146" s="64"/>
      <c r="CH146" s="64"/>
      <c r="CI146" s="64"/>
      <c r="CJ146" s="64"/>
      <c r="CK146" s="64"/>
      <c r="CL146" s="64"/>
      <c r="CM146" s="64"/>
      <c r="CN146" s="64"/>
      <c r="CO146" s="65"/>
      <c r="CP146" s="66"/>
      <c r="CQ146" s="65"/>
    </row>
    <row r="147" spans="2:102" s="61" customFormat="1" ht="12.75" hidden="1" customHeight="1" outlineLevel="1" x14ac:dyDescent="0.2">
      <c r="B147" s="58"/>
      <c r="C147" s="58" t="s">
        <v>23</v>
      </c>
      <c r="D147" s="59">
        <f>+SUM(D113:D146)</f>
        <v>50</v>
      </c>
      <c r="E147" s="59">
        <f>+SUM(E113:E146)</f>
        <v>80</v>
      </c>
      <c r="F147" s="59">
        <f>+SUM(F113:F146)</f>
        <v>80</v>
      </c>
      <c r="G147" s="59">
        <f>+SUM(G113:G146)</f>
        <v>50</v>
      </c>
      <c r="H147" s="59">
        <f>+SUM(H113:H146)</f>
        <v>60</v>
      </c>
      <c r="I147" s="59">
        <f>+SUM(I113:I146)</f>
        <v>60</v>
      </c>
      <c r="J147" s="59">
        <f>+SUM(J113:J146)</f>
        <v>90</v>
      </c>
      <c r="K147" s="59">
        <f>+SUM(K113:K146)</f>
        <v>100</v>
      </c>
      <c r="L147" s="59">
        <f>+SUM(L113:L146)</f>
        <v>75</v>
      </c>
      <c r="M147" s="59">
        <f>+SUM(M113:M146)</f>
        <v>75</v>
      </c>
      <c r="N147" s="59">
        <f>+SUM(N113:N146)</f>
        <v>90</v>
      </c>
      <c r="O147" s="59">
        <f>+SUM(O113:O146)</f>
        <v>75</v>
      </c>
      <c r="P147" s="59">
        <f>+SUM(P113:P146)</f>
        <v>90</v>
      </c>
      <c r="Q147" s="59">
        <f>+SUM(Q113:Q146)</f>
        <v>120</v>
      </c>
      <c r="R147" s="59">
        <f>+SUM(R113:R146)</f>
        <v>90</v>
      </c>
      <c r="S147" s="59">
        <f>+SUM(S113:S146)</f>
        <v>99.77000000000001</v>
      </c>
      <c r="T147" s="59">
        <f>+SUM(T113:T146)</f>
        <v>150</v>
      </c>
      <c r="U147" s="59">
        <f>+SUM(U113:U146)</f>
        <v>90</v>
      </c>
      <c r="V147" s="59">
        <f>+SUM(V113:V146)</f>
        <v>105</v>
      </c>
      <c r="W147" s="59">
        <f>+SUM(W113:W146)</f>
        <v>120</v>
      </c>
      <c r="X147" s="59">
        <f>+SUM(X113:X146)</f>
        <v>105</v>
      </c>
      <c r="Y147" s="59">
        <f>+SUM(Y113:Y146)</f>
        <v>90</v>
      </c>
      <c r="Z147" s="59">
        <f>+SUM(Z113:Z146)</f>
        <v>90</v>
      </c>
      <c r="AA147" s="59">
        <f>+SUM(AA113:AA146)</f>
        <v>100</v>
      </c>
      <c r="AB147" s="59">
        <f>+SUM(AB113:AB146)</f>
        <v>105</v>
      </c>
      <c r="AC147" s="59">
        <f>+SUM(AC113:AC146)</f>
        <v>75</v>
      </c>
      <c r="AD147" s="59">
        <f>+SUM(AD113:AD146)</f>
        <v>90</v>
      </c>
      <c r="AE147" s="59">
        <f>+SUM(AE113:AE146)</f>
        <v>140</v>
      </c>
      <c r="AF147" s="59">
        <f>+SUM(AF113:AF146)</f>
        <v>105</v>
      </c>
      <c r="AG147" s="59">
        <f>+SUM(AG113:AG146)</f>
        <v>60</v>
      </c>
      <c r="AH147" s="59">
        <f>+SUM(AH113:AH146)</f>
        <v>90</v>
      </c>
      <c r="AI147" s="59">
        <f>+SUM(AI113:AI146)</f>
        <v>135</v>
      </c>
      <c r="AJ147" s="59">
        <f>+SUM(AJ113:AJ146)</f>
        <v>150</v>
      </c>
      <c r="AK147" s="59">
        <f>+SUM(AK113:AK146)</f>
        <v>70</v>
      </c>
      <c r="AL147" s="59">
        <f>+SUM(AL113:AL146)</f>
        <v>135</v>
      </c>
      <c r="AM147" s="59">
        <f>+SUM(AM113:AM146)</f>
        <v>75</v>
      </c>
      <c r="AN147" s="59">
        <f>+SUM(AN113:AN146)</f>
        <v>120</v>
      </c>
      <c r="AO147" s="59">
        <f>+SUM(AO113:AO146)</f>
        <v>50</v>
      </c>
      <c r="AP147" s="59">
        <f>+SUM(AP113:AP146)</f>
        <v>105</v>
      </c>
      <c r="AQ147" s="59">
        <f>+SUM(AQ113:AQ146)</f>
        <v>120</v>
      </c>
      <c r="AR147" s="59">
        <f>+SUM(AR113:AR146)</f>
        <v>75</v>
      </c>
      <c r="AS147" s="59">
        <f>+SUM(AS113:AS146)</f>
        <v>320</v>
      </c>
      <c r="AT147" s="59">
        <f>+SUM(AT113:AT146)</f>
        <v>120</v>
      </c>
      <c r="AU147" s="59">
        <f>+SUM(AU113:AU146)</f>
        <v>90</v>
      </c>
      <c r="AV147" s="59">
        <f>+SUM(AV113:AV146)</f>
        <v>180</v>
      </c>
      <c r="AW147" s="59">
        <f>+SUM(AW113:AW146)</f>
        <v>180</v>
      </c>
      <c r="AX147" s="59">
        <f>+SUM(AX113:AX146)</f>
        <v>90</v>
      </c>
      <c r="AY147" s="59">
        <f>+SUM(AY113:AY146)</f>
        <v>60</v>
      </c>
      <c r="AZ147" s="59">
        <f>+SUM(AZ113:AZ146)</f>
        <v>240</v>
      </c>
      <c r="BA147" s="59">
        <f>+SUM(BA113:BA146)</f>
        <v>120</v>
      </c>
      <c r="BB147" s="59">
        <f>+SUM(BB113:BB146)</f>
        <v>140</v>
      </c>
      <c r="BC147" s="59">
        <f>+SUM(BC113:BC146)</f>
        <v>120</v>
      </c>
      <c r="BD147" s="59">
        <f>+SUM(BD113:BD146)</f>
        <v>180</v>
      </c>
      <c r="BE147" s="59">
        <f>+SUM(BE113:BE146)</f>
        <v>40</v>
      </c>
      <c r="BF147" s="59">
        <f>+SUM(BF113:BF146)</f>
        <v>60</v>
      </c>
      <c r="BG147" s="59">
        <f>+SUM(BG113:BG146)</f>
        <v>75</v>
      </c>
      <c r="BH147" s="59">
        <f>+SUM(BH113:BH146)</f>
        <v>240</v>
      </c>
      <c r="BI147" s="59">
        <f>+SUM(BI113:BI146)</f>
        <v>100</v>
      </c>
      <c r="BJ147" s="59">
        <f>+SUM(BJ113:BJ146)</f>
        <v>200</v>
      </c>
      <c r="BK147" s="59">
        <f>+SUM(BK113:BK146)</f>
        <v>140</v>
      </c>
      <c r="BL147" s="59">
        <f>+SUM(BL113:BL146)</f>
        <v>180</v>
      </c>
      <c r="BM147" s="59">
        <f>+SUM(BM113:BM146)</f>
        <v>140</v>
      </c>
      <c r="BN147" s="59">
        <f>+SUM(BN113:BN146)</f>
        <v>100</v>
      </c>
      <c r="BO147" s="59">
        <f>+SUM(BO113:BO146)</f>
        <v>120</v>
      </c>
      <c r="BP147" s="59">
        <f>+SUM(BP113:BP146)</f>
        <v>460</v>
      </c>
      <c r="BQ147" s="59">
        <f>+SUM(BQ113:BQ146)</f>
        <v>180</v>
      </c>
      <c r="BR147" s="59">
        <f>+SUM(BR113:BR146)</f>
        <v>180</v>
      </c>
      <c r="BS147" s="59">
        <f>+SUM(BS113:BS146)</f>
        <v>200</v>
      </c>
      <c r="BT147" s="59">
        <f>+SUM(BT113:BT146)</f>
        <v>200</v>
      </c>
      <c r="BU147" s="59">
        <f>+SUM(BU113:BU146)</f>
        <v>180</v>
      </c>
      <c r="BV147" s="59">
        <f>+SUM(BV113:BV146)</f>
        <v>220</v>
      </c>
      <c r="BW147" s="59">
        <f>+SUM(BW113:BW146)</f>
        <v>140</v>
      </c>
      <c r="BX147" s="59">
        <f>+SUM(BX113:BX146)</f>
        <v>270</v>
      </c>
      <c r="BY147" s="59">
        <f>+SUM(BY113:BY146)</f>
        <v>275</v>
      </c>
      <c r="BZ147" s="59">
        <f>+SUM(BZ113:BZ146)</f>
        <v>120</v>
      </c>
      <c r="CA147" s="59">
        <f>+SUM(CA113:CA146)</f>
        <v>180</v>
      </c>
      <c r="CB147" s="59">
        <f>+SUM(CB113:CB146)</f>
        <v>240</v>
      </c>
      <c r="CC147" s="59">
        <f>+SUM(CC113:CC146)</f>
        <v>220</v>
      </c>
      <c r="CD147" s="59">
        <f>+SUM(CD113:CD146)</f>
        <v>220</v>
      </c>
      <c r="CE147" s="59">
        <f>+SUM(CE113:CE146)</f>
        <v>220</v>
      </c>
      <c r="CF147" s="59">
        <f>+SUM(CF113:CF146)</f>
        <v>175</v>
      </c>
      <c r="CG147" s="59">
        <f>+SUM(CG113:CG146)</f>
        <v>270</v>
      </c>
      <c r="CH147" s="59">
        <f>+SUM(CH113:CH146)</f>
        <v>360</v>
      </c>
      <c r="CI147" s="59">
        <f>+SUM(CI113:CI146)</f>
        <v>180</v>
      </c>
      <c r="CJ147" s="59">
        <f>+SUM(CJ113:CJ146)</f>
        <v>100</v>
      </c>
      <c r="CK147" s="59">
        <f>+SUM(CK113:CK146)</f>
        <v>275</v>
      </c>
      <c r="CL147" s="59">
        <f>+SUM(CL113:CL146)</f>
        <v>360</v>
      </c>
      <c r="CM147" s="59">
        <f>+SUM(CM113:CM146)</f>
        <v>300</v>
      </c>
      <c r="CN147" s="59">
        <f>+SUM(CN113:CN146)</f>
        <v>330</v>
      </c>
      <c r="CO147" s="60"/>
      <c r="CP147" s="59">
        <f>+SUM(CP113:CP146)</f>
        <v>12924.77</v>
      </c>
      <c r="CQ147" s="60"/>
    </row>
    <row r="148" spans="2:102" ht="12.75" customHeight="1" collapsed="1" x14ac:dyDescent="0.2"/>
    <row r="149" spans="2:102" s="20" customFormat="1" ht="12.75" customHeight="1" x14ac:dyDescent="0.2">
      <c r="B149" s="17" t="s">
        <v>24</v>
      </c>
      <c r="C149" s="17"/>
      <c r="D149" s="18"/>
      <c r="E149" s="18"/>
      <c r="F149" s="18"/>
      <c r="G149" s="18"/>
      <c r="H149" s="18"/>
      <c r="I149" s="18"/>
      <c r="J149" s="18"/>
      <c r="K149" s="18"/>
      <c r="L149" s="18"/>
      <c r="M149" s="18"/>
      <c r="N149" s="18"/>
      <c r="O149" s="18"/>
      <c r="P149" s="18"/>
      <c r="Q149" s="18"/>
      <c r="R149" s="18"/>
      <c r="S149" s="18"/>
      <c r="T149" s="18"/>
      <c r="U149" s="18"/>
      <c r="V149" s="18"/>
      <c r="W149" s="18"/>
      <c r="X149" s="18"/>
      <c r="Y149" s="18"/>
      <c r="Z149" s="18"/>
      <c r="AA149" s="18"/>
      <c r="AB149" s="18"/>
      <c r="AC149" s="18"/>
      <c r="AD149" s="18"/>
      <c r="AE149" s="18"/>
      <c r="AF149" s="18"/>
      <c r="AG149" s="18"/>
      <c r="AH149" s="18"/>
      <c r="AI149" s="18"/>
      <c r="AJ149" s="18"/>
      <c r="AK149" s="18"/>
      <c r="AL149" s="18"/>
      <c r="AM149" s="18"/>
      <c r="AN149" s="18"/>
      <c r="AO149" s="18"/>
      <c r="AP149" s="18"/>
      <c r="AQ149" s="18"/>
      <c r="AR149" s="18"/>
      <c r="AS149" s="18"/>
      <c r="AT149" s="18"/>
      <c r="AU149" s="18"/>
      <c r="AV149" s="18"/>
      <c r="AW149" s="18"/>
      <c r="AX149" s="18"/>
      <c r="AY149" s="18"/>
      <c r="AZ149" s="18"/>
      <c r="BA149" s="18"/>
      <c r="BB149" s="18"/>
      <c r="BC149" s="18"/>
      <c r="BD149" s="18"/>
      <c r="BE149" s="18"/>
      <c r="BF149" s="18"/>
      <c r="BG149" s="18"/>
      <c r="BH149" s="18"/>
      <c r="BI149" s="18"/>
      <c r="BJ149" s="18"/>
      <c r="BK149" s="18"/>
      <c r="BL149" s="18"/>
      <c r="BM149" s="18"/>
      <c r="BN149" s="18"/>
      <c r="BO149" s="18"/>
      <c r="BP149" s="18"/>
      <c r="BQ149" s="18"/>
      <c r="BR149" s="18"/>
      <c r="BS149" s="18"/>
      <c r="BT149" s="18"/>
      <c r="BU149" s="18"/>
      <c r="BV149" s="18"/>
      <c r="BW149" s="18"/>
      <c r="BX149" s="18"/>
      <c r="BY149" s="18"/>
      <c r="BZ149" s="18"/>
      <c r="CA149" s="18"/>
      <c r="CB149" s="18"/>
      <c r="CC149" s="18"/>
      <c r="CD149" s="18"/>
      <c r="CE149" s="18"/>
      <c r="CF149" s="18"/>
      <c r="CG149" s="18"/>
      <c r="CH149" s="18"/>
      <c r="CI149" s="18"/>
      <c r="CJ149" s="18"/>
      <c r="CK149" s="18"/>
      <c r="CL149" s="18"/>
      <c r="CM149" s="18"/>
      <c r="CN149" s="18"/>
      <c r="CO149" s="18"/>
      <c r="CP149" s="18"/>
      <c r="CQ149" s="19"/>
      <c r="CR149" s="19"/>
      <c r="CS149" s="19"/>
      <c r="CT149" s="19"/>
      <c r="CU149" s="19"/>
      <c r="CV149" s="19"/>
      <c r="CW149" s="19"/>
      <c r="CX149" s="19"/>
    </row>
    <row r="150" spans="2:102" s="20" customFormat="1" ht="12.75" hidden="1" customHeight="1" outlineLevel="1" x14ac:dyDescent="0.2">
      <c r="B150" s="52"/>
      <c r="C150" s="52"/>
      <c r="D150" s="53"/>
      <c r="E150" s="53"/>
      <c r="F150" s="53"/>
      <c r="G150" s="53"/>
      <c r="H150" s="53"/>
      <c r="I150" s="53"/>
      <c r="J150" s="53"/>
      <c r="K150" s="53"/>
      <c r="L150" s="53"/>
      <c r="M150" s="53"/>
      <c r="N150" s="53"/>
      <c r="O150" s="53"/>
      <c r="P150" s="53"/>
      <c r="Q150" s="53"/>
      <c r="R150" s="53"/>
      <c r="S150" s="53"/>
      <c r="T150" s="53"/>
      <c r="U150" s="53"/>
      <c r="V150" s="53"/>
      <c r="W150" s="53"/>
      <c r="X150" s="53"/>
      <c r="Y150" s="53"/>
      <c r="Z150" s="53"/>
      <c r="AA150" s="53"/>
      <c r="AB150" s="53"/>
      <c r="AC150" s="53"/>
      <c r="AD150" s="53"/>
      <c r="AE150" s="53"/>
      <c r="AF150" s="53"/>
      <c r="AG150" s="53"/>
      <c r="AH150" s="53"/>
      <c r="AI150" s="53"/>
      <c r="AJ150" s="53"/>
      <c r="AK150" s="53"/>
      <c r="AL150" s="53"/>
      <c r="AM150" s="53"/>
      <c r="AN150" s="53"/>
      <c r="AO150" s="53"/>
      <c r="AP150" s="53"/>
      <c r="AQ150" s="53"/>
      <c r="AR150" s="53"/>
      <c r="AS150" s="53"/>
      <c r="AT150" s="53"/>
      <c r="AU150" s="53"/>
      <c r="AV150" s="53"/>
      <c r="AW150" s="53"/>
      <c r="AX150" s="53"/>
      <c r="AY150" s="53"/>
      <c r="AZ150" s="53"/>
      <c r="BA150" s="53"/>
      <c r="BB150" s="53"/>
      <c r="BC150" s="53"/>
      <c r="BD150" s="53"/>
      <c r="BE150" s="53"/>
      <c r="BF150" s="53"/>
      <c r="BG150" s="53"/>
      <c r="BH150" s="53"/>
      <c r="BI150" s="53"/>
      <c r="BJ150" s="53"/>
      <c r="BK150" s="53"/>
      <c r="BL150" s="53"/>
      <c r="BM150" s="53"/>
      <c r="BN150" s="53"/>
      <c r="BO150" s="53"/>
      <c r="BP150" s="53"/>
      <c r="BQ150" s="53"/>
      <c r="BR150" s="53"/>
      <c r="BS150" s="53"/>
      <c r="BT150" s="53"/>
      <c r="BU150" s="53"/>
      <c r="BV150" s="53"/>
      <c r="BW150" s="53"/>
      <c r="BX150" s="53"/>
      <c r="BY150" s="53"/>
      <c r="BZ150" s="53"/>
      <c r="CA150" s="53"/>
      <c r="CB150" s="53"/>
      <c r="CC150" s="53"/>
      <c r="CD150" s="53"/>
      <c r="CE150" s="53"/>
      <c r="CF150" s="53"/>
      <c r="CG150" s="53"/>
      <c r="CH150" s="53"/>
      <c r="CI150" s="53"/>
      <c r="CJ150" s="53"/>
      <c r="CK150" s="53"/>
      <c r="CL150" s="53"/>
      <c r="CM150" s="53"/>
      <c r="CN150" s="53"/>
      <c r="CO150" s="53"/>
      <c r="CP150" s="54"/>
      <c r="CQ150" s="53"/>
    </row>
    <row r="151" spans="2:102" s="81" customFormat="1" ht="25.5" hidden="1" customHeight="1" outlineLevel="1" x14ac:dyDescent="0.2">
      <c r="B151" s="68"/>
      <c r="C151" s="68"/>
      <c r="D151" s="70"/>
      <c r="E151" s="70"/>
      <c r="F151" s="70"/>
      <c r="G151" s="70"/>
      <c r="H151" s="70"/>
      <c r="I151" s="70"/>
      <c r="J151" s="70"/>
      <c r="K151" s="70"/>
      <c r="L151" s="70"/>
      <c r="M151" s="70"/>
      <c r="N151" s="70"/>
      <c r="O151" s="70"/>
      <c r="P151" s="70"/>
      <c r="Q151" s="70"/>
      <c r="R151" s="70"/>
      <c r="S151" s="70"/>
      <c r="T151" s="70"/>
      <c r="U151" s="70"/>
      <c r="V151" s="70"/>
      <c r="W151" s="70"/>
      <c r="X151" s="70"/>
      <c r="Y151" s="70"/>
      <c r="Z151" s="70"/>
      <c r="AA151" s="70"/>
      <c r="AB151" s="70"/>
      <c r="AC151" s="70"/>
      <c r="AD151" s="70"/>
      <c r="AE151" s="70"/>
      <c r="AF151" s="70"/>
      <c r="AG151" s="70"/>
      <c r="AH151" s="70"/>
      <c r="AI151" s="70"/>
      <c r="AJ151" s="70"/>
      <c r="AK151" s="70"/>
      <c r="AL151" s="70"/>
      <c r="AM151" s="70"/>
      <c r="AN151" s="70"/>
      <c r="AO151" s="70"/>
      <c r="AP151" s="70"/>
      <c r="AQ151" s="70"/>
      <c r="AR151" s="70"/>
      <c r="AS151" s="70"/>
      <c r="AT151" s="70"/>
      <c r="AU151" s="70"/>
      <c r="AV151" s="70"/>
      <c r="AW151" s="70"/>
      <c r="AX151" s="70"/>
      <c r="AY151" s="70"/>
      <c r="AZ151" s="70"/>
      <c r="BA151" s="70"/>
      <c r="BB151" s="70"/>
      <c r="BC151" s="70"/>
      <c r="BD151" s="70"/>
      <c r="BE151" s="70"/>
      <c r="BF151" s="70"/>
      <c r="BG151" s="70"/>
      <c r="BH151" s="70"/>
      <c r="BI151" s="70"/>
      <c r="BJ151" s="70"/>
      <c r="BK151" s="70"/>
      <c r="BL151" s="70"/>
      <c r="BM151" s="70"/>
      <c r="BN151" s="70"/>
      <c r="BO151" s="70"/>
      <c r="BP151" s="70"/>
      <c r="BQ151" s="70"/>
      <c r="BR151" s="70"/>
      <c r="BS151" s="70"/>
      <c r="BT151" s="70"/>
      <c r="BU151" s="70"/>
      <c r="BV151" s="70"/>
      <c r="BW151" s="70"/>
      <c r="BX151" s="70"/>
      <c r="BY151" s="70"/>
      <c r="BZ151" s="70"/>
      <c r="CA151" s="70"/>
      <c r="CB151" s="70"/>
      <c r="CC151" s="70"/>
      <c r="CD151" s="70"/>
      <c r="CE151" s="70"/>
      <c r="CF151" s="70"/>
      <c r="CG151" s="70"/>
      <c r="CH151" s="70"/>
      <c r="CI151" s="70"/>
      <c r="CJ151" s="70"/>
      <c r="CK151" s="70"/>
      <c r="CL151" s="70"/>
      <c r="CM151" s="70"/>
      <c r="CN151" s="70"/>
      <c r="CO151" s="80"/>
      <c r="CP151" s="71" t="s">
        <v>24</v>
      </c>
      <c r="CQ151" s="80"/>
    </row>
    <row r="152" spans="2:102" ht="12.75" hidden="1" customHeight="1" outlineLevel="1" x14ac:dyDescent="0.2">
      <c r="B152" s="26"/>
      <c r="C152" s="85" t="s">
        <v>25</v>
      </c>
      <c r="D152" s="55">
        <v>-10</v>
      </c>
      <c r="E152" s="55">
        <v>-10</v>
      </c>
      <c r="F152" s="55">
        <v>-10</v>
      </c>
      <c r="G152" s="55"/>
      <c r="H152" s="55">
        <v>-15</v>
      </c>
      <c r="I152" s="55">
        <v>-15</v>
      </c>
      <c r="J152" s="55">
        <v>-15</v>
      </c>
      <c r="K152" s="55">
        <v>-25</v>
      </c>
      <c r="L152" s="55">
        <v>-15</v>
      </c>
      <c r="M152" s="55">
        <v>-15</v>
      </c>
      <c r="N152" s="55"/>
      <c r="O152" s="55">
        <v>-15</v>
      </c>
      <c r="P152" s="55">
        <v>-15</v>
      </c>
      <c r="Q152" s="55">
        <v>-15</v>
      </c>
      <c r="R152" s="55">
        <v>-15</v>
      </c>
      <c r="S152" s="55">
        <v>-15</v>
      </c>
      <c r="T152" s="55">
        <v>-15</v>
      </c>
      <c r="U152" s="55">
        <v>-15</v>
      </c>
      <c r="V152" s="55">
        <v>-30</v>
      </c>
      <c r="W152" s="55">
        <v>-15</v>
      </c>
      <c r="X152" s="55">
        <v>-15</v>
      </c>
      <c r="Y152" s="55">
        <v>-15</v>
      </c>
      <c r="Z152" s="55">
        <v>-30</v>
      </c>
      <c r="AA152" s="55"/>
      <c r="AB152" s="55">
        <v>-15</v>
      </c>
      <c r="AC152" s="55">
        <v>-15</v>
      </c>
      <c r="AD152" s="55">
        <v>-30</v>
      </c>
      <c r="AE152" s="55">
        <v>-20</v>
      </c>
      <c r="AF152" s="55">
        <v>-15</v>
      </c>
      <c r="AG152" s="55">
        <v>-15</v>
      </c>
      <c r="AH152" s="55">
        <v>-15</v>
      </c>
      <c r="AI152" s="55">
        <v>-45</v>
      </c>
      <c r="AJ152" s="55">
        <v>-15</v>
      </c>
      <c r="AK152" s="55">
        <v>-10</v>
      </c>
      <c r="AL152" s="55">
        <v>-15</v>
      </c>
      <c r="AM152" s="55">
        <v>-15</v>
      </c>
      <c r="AN152" s="55">
        <v>-30</v>
      </c>
      <c r="AO152" s="55">
        <v>-10</v>
      </c>
      <c r="AP152" s="55">
        <v>-45</v>
      </c>
      <c r="AQ152" s="55">
        <v>-15</v>
      </c>
      <c r="AR152" s="55">
        <v>-15</v>
      </c>
      <c r="AS152" s="55">
        <v>-40</v>
      </c>
      <c r="AT152" s="55">
        <v>-15</v>
      </c>
      <c r="AU152" s="55">
        <v>-15</v>
      </c>
      <c r="AV152" s="55">
        <v>-15</v>
      </c>
      <c r="AW152" s="55">
        <v>-30</v>
      </c>
      <c r="AX152" s="55">
        <v>-30</v>
      </c>
      <c r="AY152" s="55">
        <v>-15</v>
      </c>
      <c r="AZ152" s="55">
        <v>-20</v>
      </c>
      <c r="BA152" s="55">
        <v>-20</v>
      </c>
      <c r="BB152" s="55">
        <v>-40</v>
      </c>
      <c r="BC152" s="55">
        <v>-20</v>
      </c>
      <c r="BD152" s="55">
        <v>-60</v>
      </c>
      <c r="BE152" s="55">
        <v>-10</v>
      </c>
      <c r="BF152" s="55">
        <v>-10</v>
      </c>
      <c r="BG152" s="55">
        <v>-15</v>
      </c>
      <c r="BH152" s="55">
        <v>-40</v>
      </c>
      <c r="BI152" s="55">
        <v>-20</v>
      </c>
      <c r="BJ152" s="55">
        <v>-20</v>
      </c>
      <c r="BK152" s="55">
        <v>-20</v>
      </c>
      <c r="BL152" s="55">
        <v>-20</v>
      </c>
      <c r="BM152" s="55">
        <v>-40</v>
      </c>
      <c r="BN152" s="55">
        <v>-20</v>
      </c>
      <c r="BO152" s="55">
        <v>-20</v>
      </c>
      <c r="BP152" s="55">
        <v>-40</v>
      </c>
      <c r="BQ152" s="55">
        <v>-40</v>
      </c>
      <c r="BR152" s="55">
        <v>-20</v>
      </c>
      <c r="BS152" s="55">
        <v>-80</v>
      </c>
      <c r="BT152" s="55">
        <v>-40</v>
      </c>
      <c r="BU152" s="55">
        <v>-20</v>
      </c>
      <c r="BV152" s="55">
        <v>-20</v>
      </c>
      <c r="BW152" s="55">
        <v>-20</v>
      </c>
      <c r="BX152" s="55">
        <v>-30</v>
      </c>
      <c r="BY152" s="55">
        <v>-25</v>
      </c>
      <c r="BZ152" s="55">
        <v>-40</v>
      </c>
      <c r="CA152" s="55">
        <v>-20</v>
      </c>
      <c r="CB152" s="55">
        <v>-20</v>
      </c>
      <c r="CC152" s="55">
        <v>-20</v>
      </c>
      <c r="CD152" s="55">
        <v>-20</v>
      </c>
      <c r="CE152" s="55"/>
      <c r="CF152" s="55">
        <v>-50</v>
      </c>
      <c r="CG152" s="55">
        <v>-90</v>
      </c>
      <c r="CH152" s="55">
        <v>-60</v>
      </c>
      <c r="CI152" s="55">
        <v>-60</v>
      </c>
      <c r="CJ152" s="55">
        <v>-20</v>
      </c>
      <c r="CK152" s="55">
        <v>-50</v>
      </c>
      <c r="CL152" s="55">
        <v>-30</v>
      </c>
      <c r="CM152" s="55">
        <v>-30</v>
      </c>
      <c r="CN152" s="55">
        <v>-90</v>
      </c>
      <c r="CO152" s="28"/>
      <c r="CP152" s="29">
        <f>+SUM(D152:CO152)</f>
        <v>-2170</v>
      </c>
      <c r="CQ152" s="42"/>
    </row>
    <row r="153" spans="2:102" ht="12.75" hidden="1" customHeight="1" outlineLevel="1" x14ac:dyDescent="0.2">
      <c r="B153" s="33"/>
      <c r="C153" s="86" t="s">
        <v>26</v>
      </c>
      <c r="D153" s="56"/>
      <c r="E153" s="56"/>
      <c r="F153" s="56"/>
      <c r="G153" s="56"/>
      <c r="H153" s="56"/>
      <c r="I153" s="56"/>
      <c r="J153" s="56"/>
      <c r="K153" s="56"/>
      <c r="L153" s="56"/>
      <c r="M153" s="56"/>
      <c r="N153" s="56">
        <v>-15</v>
      </c>
      <c r="O153" s="56"/>
      <c r="P153" s="56"/>
      <c r="Q153" s="56"/>
      <c r="R153" s="56"/>
      <c r="S153" s="56">
        <v>-15</v>
      </c>
      <c r="T153" s="56"/>
      <c r="U153" s="56"/>
      <c r="V153" s="56"/>
      <c r="W153" s="56"/>
      <c r="X153" s="56"/>
      <c r="Y153" s="56"/>
      <c r="Z153" s="56"/>
      <c r="AA153" s="56"/>
      <c r="AB153" s="56"/>
      <c r="AC153" s="56"/>
      <c r="AD153" s="56"/>
      <c r="AE153" s="56"/>
      <c r="AF153" s="56"/>
      <c r="AG153" s="56"/>
      <c r="AH153" s="56"/>
      <c r="AI153" s="56"/>
      <c r="AJ153" s="56">
        <v>-15</v>
      </c>
      <c r="AK153" s="56"/>
      <c r="AL153" s="56"/>
      <c r="AM153" s="56"/>
      <c r="AN153" s="56"/>
      <c r="AO153" s="56"/>
      <c r="AP153" s="56"/>
      <c r="AQ153" s="56"/>
      <c r="AR153" s="56"/>
      <c r="AS153" s="56"/>
      <c r="AT153" s="56"/>
      <c r="AU153" s="56"/>
      <c r="AV153" s="56">
        <v>-15</v>
      </c>
      <c r="AW153" s="56"/>
      <c r="AX153" s="56"/>
      <c r="AY153" s="56"/>
      <c r="AZ153" s="56"/>
      <c r="BA153" s="56"/>
      <c r="BB153" s="56"/>
      <c r="BC153" s="56">
        <v>-20</v>
      </c>
      <c r="BD153" s="56">
        <v>-20</v>
      </c>
      <c r="BE153" s="56">
        <v>-10</v>
      </c>
      <c r="BF153" s="56">
        <v>-10</v>
      </c>
      <c r="BG153" s="56">
        <v>-15</v>
      </c>
      <c r="BH153" s="56"/>
      <c r="BI153" s="56"/>
      <c r="BJ153" s="56"/>
      <c r="BK153" s="56"/>
      <c r="BL153" s="56"/>
      <c r="BM153" s="56"/>
      <c r="BN153" s="56"/>
      <c r="BO153" s="56"/>
      <c r="BP153" s="56">
        <v>-20</v>
      </c>
      <c r="BQ153" s="56"/>
      <c r="BR153" s="56"/>
      <c r="BS153" s="56"/>
      <c r="BT153" s="56"/>
      <c r="BU153" s="56"/>
      <c r="BV153" s="56"/>
      <c r="BW153" s="56"/>
      <c r="BX153" s="56"/>
      <c r="BY153" s="56"/>
      <c r="BZ153" s="56"/>
      <c r="CA153" s="56"/>
      <c r="CB153" s="56"/>
      <c r="CC153" s="56"/>
      <c r="CD153" s="56"/>
      <c r="CE153" s="56"/>
      <c r="CF153" s="56"/>
      <c r="CG153" s="56"/>
      <c r="CH153" s="56"/>
      <c r="CI153" s="56"/>
      <c r="CJ153" s="56"/>
      <c r="CK153" s="56"/>
      <c r="CL153" s="56"/>
      <c r="CM153" s="56"/>
      <c r="CN153" s="56"/>
      <c r="CO153" s="35"/>
      <c r="CP153" s="36">
        <f>+SUM(D153:CO153)</f>
        <v>-155</v>
      </c>
      <c r="CQ153" s="42"/>
    </row>
    <row r="154" spans="2:102" ht="12.75" hidden="1" customHeight="1" outlineLevel="1" x14ac:dyDescent="0.2">
      <c r="B154" s="40"/>
      <c r="C154" s="87" t="s">
        <v>27</v>
      </c>
      <c r="D154" s="57">
        <v>-10</v>
      </c>
      <c r="E154" s="57">
        <v>-10</v>
      </c>
      <c r="F154" s="57">
        <v>-10</v>
      </c>
      <c r="G154" s="57">
        <v>-10</v>
      </c>
      <c r="H154" s="57"/>
      <c r="I154" s="57">
        <v>-15</v>
      </c>
      <c r="J154" s="57">
        <v>-15</v>
      </c>
      <c r="K154" s="57"/>
      <c r="L154" s="57">
        <v>-15</v>
      </c>
      <c r="M154" s="57"/>
      <c r="N154" s="57"/>
      <c r="O154" s="57">
        <v>-15</v>
      </c>
      <c r="P154" s="57">
        <v>-30</v>
      </c>
      <c r="Q154" s="57">
        <v>-15</v>
      </c>
      <c r="R154" s="57">
        <v>-15</v>
      </c>
      <c r="S154" s="57">
        <v>-15</v>
      </c>
      <c r="T154" s="57">
        <v>-30</v>
      </c>
      <c r="U154" s="57">
        <v>-15</v>
      </c>
      <c r="V154" s="57">
        <v>-15</v>
      </c>
      <c r="W154" s="57">
        <v>-15</v>
      </c>
      <c r="X154" s="57">
        <v>-30</v>
      </c>
      <c r="Y154" s="57">
        <v>-30</v>
      </c>
      <c r="Z154" s="57">
        <v>-15</v>
      </c>
      <c r="AA154" s="57">
        <v>-15</v>
      </c>
      <c r="AB154" s="57">
        <v>-15</v>
      </c>
      <c r="AC154" s="57">
        <v>-15</v>
      </c>
      <c r="AD154" s="57">
        <v>-30</v>
      </c>
      <c r="AE154" s="57">
        <v>-40</v>
      </c>
      <c r="AF154" s="57">
        <v>-30</v>
      </c>
      <c r="AG154" s="57">
        <v>-15</v>
      </c>
      <c r="AH154" s="57">
        <v>-30</v>
      </c>
      <c r="AI154" s="57">
        <v>-45</v>
      </c>
      <c r="AJ154" s="57">
        <v>-30</v>
      </c>
      <c r="AK154" s="57">
        <v>-10</v>
      </c>
      <c r="AL154" s="57">
        <v>-30</v>
      </c>
      <c r="AM154" s="57">
        <v>-15</v>
      </c>
      <c r="AN154" s="57">
        <v>-15</v>
      </c>
      <c r="AO154" s="57">
        <v>-10</v>
      </c>
      <c r="AP154" s="57">
        <v>-30</v>
      </c>
      <c r="AQ154" s="57">
        <v>-15</v>
      </c>
      <c r="AR154" s="57">
        <v>-15</v>
      </c>
      <c r="AS154" s="57">
        <v>-60</v>
      </c>
      <c r="AT154" s="57"/>
      <c r="AU154" s="57"/>
      <c r="AV154" s="57"/>
      <c r="AW154" s="57">
        <v>-15</v>
      </c>
      <c r="AX154" s="57">
        <v>-15</v>
      </c>
      <c r="AY154" s="57">
        <v>-15</v>
      </c>
      <c r="AZ154" s="57"/>
      <c r="BA154" s="57"/>
      <c r="BB154" s="57"/>
      <c r="BC154" s="57">
        <v>-20</v>
      </c>
      <c r="BD154" s="57"/>
      <c r="BE154" s="57"/>
      <c r="BF154" s="57">
        <v>-10</v>
      </c>
      <c r="BG154" s="57"/>
      <c r="BH154" s="57"/>
      <c r="BI154" s="57">
        <v>-20</v>
      </c>
      <c r="BJ154" s="57"/>
      <c r="BK154" s="57">
        <v>-20</v>
      </c>
      <c r="BL154" s="57"/>
      <c r="BM154" s="57">
        <v>-40</v>
      </c>
      <c r="BN154" s="57"/>
      <c r="BO154" s="57"/>
      <c r="BP154" s="57">
        <v>-20</v>
      </c>
      <c r="BQ154" s="57"/>
      <c r="BR154" s="57">
        <v>-20</v>
      </c>
      <c r="BS154" s="57"/>
      <c r="BT154" s="57"/>
      <c r="BU154" s="57"/>
      <c r="BV154" s="57">
        <v>-20</v>
      </c>
      <c r="BW154" s="57"/>
      <c r="BX154" s="57"/>
      <c r="BY154" s="57"/>
      <c r="BZ154" s="57"/>
      <c r="CA154" s="57"/>
      <c r="CB154" s="57">
        <v>-40</v>
      </c>
      <c r="CC154" s="57"/>
      <c r="CD154" s="57"/>
      <c r="CE154" s="57"/>
      <c r="CF154" s="57"/>
      <c r="CG154" s="57"/>
      <c r="CH154" s="57"/>
      <c r="CI154" s="57"/>
      <c r="CJ154" s="57"/>
      <c r="CK154" s="57"/>
      <c r="CL154" s="57"/>
      <c r="CM154" s="57"/>
      <c r="CN154" s="57"/>
      <c r="CO154" s="42"/>
      <c r="CP154" s="29">
        <f>+SUM(D154:CO154)</f>
        <v>-1045</v>
      </c>
      <c r="CQ154" s="42"/>
    </row>
    <row r="155" spans="2:102" ht="12.75" hidden="1" customHeight="1" outlineLevel="1" x14ac:dyDescent="0.2">
      <c r="B155" s="33"/>
      <c r="C155" s="86" t="s">
        <v>28</v>
      </c>
      <c r="D155" s="56"/>
      <c r="E155" s="56"/>
      <c r="F155" s="56"/>
      <c r="G155" s="56">
        <v>-10</v>
      </c>
      <c r="H155" s="56">
        <v>-15</v>
      </c>
      <c r="I155" s="56">
        <v>-15</v>
      </c>
      <c r="J155" s="56">
        <v>-15</v>
      </c>
      <c r="K155" s="56">
        <v>-15</v>
      </c>
      <c r="L155" s="56"/>
      <c r="M155" s="56">
        <v>-15</v>
      </c>
      <c r="N155" s="56">
        <v>-15</v>
      </c>
      <c r="O155" s="56">
        <v>-30</v>
      </c>
      <c r="P155" s="56">
        <v>-15</v>
      </c>
      <c r="Q155" s="56">
        <v>-30</v>
      </c>
      <c r="R155" s="56">
        <v>-15</v>
      </c>
      <c r="S155" s="56">
        <v>-15</v>
      </c>
      <c r="T155" s="56">
        <v>-30</v>
      </c>
      <c r="U155" s="56">
        <v>-30</v>
      </c>
      <c r="V155" s="56">
        <v>-15</v>
      </c>
      <c r="W155" s="56">
        <v>-30</v>
      </c>
      <c r="X155" s="56"/>
      <c r="Y155" s="56"/>
      <c r="Z155" s="56">
        <v>-15</v>
      </c>
      <c r="AA155" s="56">
        <v>-15</v>
      </c>
      <c r="AB155" s="56"/>
      <c r="AC155" s="56"/>
      <c r="AD155" s="56"/>
      <c r="AE155" s="56"/>
      <c r="AF155" s="56">
        <v>-15</v>
      </c>
      <c r="AG155" s="56">
        <v>-15</v>
      </c>
      <c r="AH155" s="56"/>
      <c r="AI155" s="56"/>
      <c r="AJ155" s="56">
        <v>-15</v>
      </c>
      <c r="AK155" s="56">
        <v>-20</v>
      </c>
      <c r="AL155" s="56"/>
      <c r="AM155" s="56"/>
      <c r="AN155" s="56">
        <v>-30</v>
      </c>
      <c r="AO155" s="56">
        <v>-10</v>
      </c>
      <c r="AP155" s="56">
        <v>-15</v>
      </c>
      <c r="AQ155" s="56"/>
      <c r="AR155" s="56"/>
      <c r="AS155" s="56"/>
      <c r="AT155" s="56">
        <v>-30</v>
      </c>
      <c r="AU155" s="56">
        <v>-30</v>
      </c>
      <c r="AV155" s="56"/>
      <c r="AW155" s="56"/>
      <c r="AX155" s="56">
        <v>-30</v>
      </c>
      <c r="AY155" s="56">
        <v>-15</v>
      </c>
      <c r="AZ155" s="56"/>
      <c r="BA155" s="56"/>
      <c r="BB155" s="56"/>
      <c r="BC155" s="56"/>
      <c r="BD155" s="56"/>
      <c r="BE155" s="56"/>
      <c r="BF155" s="56"/>
      <c r="BG155" s="56"/>
      <c r="BH155" s="56">
        <v>-20</v>
      </c>
      <c r="BI155" s="56"/>
      <c r="BJ155" s="56"/>
      <c r="BK155" s="56"/>
      <c r="BL155" s="56"/>
      <c r="BM155" s="56"/>
      <c r="BN155" s="56"/>
      <c r="BO155" s="56"/>
      <c r="BP155" s="56"/>
      <c r="BQ155" s="56"/>
      <c r="BR155" s="56"/>
      <c r="BS155" s="56"/>
      <c r="BT155" s="56"/>
      <c r="BU155" s="56"/>
      <c r="BV155" s="56"/>
      <c r="BW155" s="56"/>
      <c r="BX155" s="56"/>
      <c r="BY155" s="56"/>
      <c r="BZ155" s="56"/>
      <c r="CA155" s="56"/>
      <c r="CB155" s="56"/>
      <c r="CC155" s="56"/>
      <c r="CD155" s="56"/>
      <c r="CE155" s="56">
        <v>-60</v>
      </c>
      <c r="CF155" s="56"/>
      <c r="CG155" s="56"/>
      <c r="CH155" s="56"/>
      <c r="CI155" s="56"/>
      <c r="CJ155" s="56"/>
      <c r="CK155" s="56">
        <v>-50</v>
      </c>
      <c r="CL155" s="56"/>
      <c r="CM155" s="56"/>
      <c r="CN155" s="56"/>
      <c r="CO155" s="35"/>
      <c r="CP155" s="36">
        <f>+SUM(D155:CO155)</f>
        <v>-695</v>
      </c>
      <c r="CQ155" s="42"/>
    </row>
    <row r="156" spans="2:102" ht="12.75" hidden="1" customHeight="1" outlineLevel="1" x14ac:dyDescent="0.2">
      <c r="B156" s="40"/>
      <c r="C156" s="87" t="s">
        <v>29</v>
      </c>
      <c r="D156" s="57">
        <v>-10</v>
      </c>
      <c r="E156" s="57">
        <v>-10</v>
      </c>
      <c r="F156" s="57">
        <v>-20</v>
      </c>
      <c r="G156" s="57">
        <v>-20</v>
      </c>
      <c r="H156" s="57"/>
      <c r="I156" s="57">
        <v>-15</v>
      </c>
      <c r="J156" s="57"/>
      <c r="K156" s="57">
        <v>-30</v>
      </c>
      <c r="L156" s="57"/>
      <c r="M156" s="57"/>
      <c r="N156" s="57"/>
      <c r="O156" s="57"/>
      <c r="P156" s="57"/>
      <c r="Q156" s="57">
        <v>-15</v>
      </c>
      <c r="R156" s="57">
        <v>-15</v>
      </c>
      <c r="S156" s="57"/>
      <c r="T156" s="57">
        <v>-15</v>
      </c>
      <c r="U156" s="57">
        <v>-30</v>
      </c>
      <c r="V156" s="57"/>
      <c r="W156" s="57">
        <v>-30</v>
      </c>
      <c r="X156" s="57"/>
      <c r="Y156" s="57"/>
      <c r="Z156" s="57"/>
      <c r="AA156" s="57"/>
      <c r="AB156" s="57"/>
      <c r="AC156" s="57"/>
      <c r="AD156" s="57"/>
      <c r="AE156" s="57"/>
      <c r="AF156" s="57"/>
      <c r="AG156" s="57"/>
      <c r="AH156" s="57"/>
      <c r="AI156" s="57">
        <v>-15</v>
      </c>
      <c r="AJ156" s="57">
        <v>-30</v>
      </c>
      <c r="AK156" s="57">
        <v>-20</v>
      </c>
      <c r="AL156" s="57"/>
      <c r="AM156" s="57"/>
      <c r="AN156" s="57"/>
      <c r="AO156" s="57"/>
      <c r="AP156" s="57"/>
      <c r="AQ156" s="57"/>
      <c r="AR156" s="57"/>
      <c r="AS156" s="57">
        <v>-40</v>
      </c>
      <c r="AT156" s="57"/>
      <c r="AU156" s="57"/>
      <c r="AV156" s="57"/>
      <c r="AW156" s="57"/>
      <c r="AX156" s="57">
        <v>-15</v>
      </c>
      <c r="AY156" s="57">
        <v>-15</v>
      </c>
      <c r="AZ156" s="57">
        <v>-40</v>
      </c>
      <c r="BA156" s="57"/>
      <c r="BB156" s="57">
        <v>-20</v>
      </c>
      <c r="BC156" s="57"/>
      <c r="BD156" s="57"/>
      <c r="BE156" s="57"/>
      <c r="BF156" s="57"/>
      <c r="BG156" s="57"/>
      <c r="BH156" s="57">
        <v>-20</v>
      </c>
      <c r="BI156" s="57"/>
      <c r="BJ156" s="57">
        <v>-20</v>
      </c>
      <c r="BK156" s="57"/>
      <c r="BL156" s="57">
        <v>-20</v>
      </c>
      <c r="BM156" s="57"/>
      <c r="BN156" s="57"/>
      <c r="BO156" s="57"/>
      <c r="BP156" s="57">
        <v>-40</v>
      </c>
      <c r="BQ156" s="57"/>
      <c r="BR156" s="57"/>
      <c r="BS156" s="57">
        <v>-60</v>
      </c>
      <c r="BT156" s="57">
        <v>-40</v>
      </c>
      <c r="BU156" s="57">
        <v>-20</v>
      </c>
      <c r="BV156" s="57">
        <v>-40</v>
      </c>
      <c r="BW156" s="57"/>
      <c r="BX156" s="57">
        <v>-90</v>
      </c>
      <c r="BY156" s="57">
        <v>-25</v>
      </c>
      <c r="BZ156" s="57"/>
      <c r="CA156" s="57">
        <v>-20</v>
      </c>
      <c r="CB156" s="57"/>
      <c r="CC156" s="57"/>
      <c r="CD156" s="57"/>
      <c r="CE156" s="57"/>
      <c r="CF156" s="57">
        <v>-25</v>
      </c>
      <c r="CG156" s="57"/>
      <c r="CH156" s="57">
        <v>-60</v>
      </c>
      <c r="CI156" s="57">
        <v>-30</v>
      </c>
      <c r="CJ156" s="57"/>
      <c r="CK156" s="57"/>
      <c r="CL156" s="57">
        <v>-90</v>
      </c>
      <c r="CM156" s="57"/>
      <c r="CN156" s="57"/>
      <c r="CO156" s="42"/>
      <c r="CP156" s="29">
        <f>+SUM(D156:CO156)</f>
        <v>-1005</v>
      </c>
      <c r="CQ156" s="42"/>
    </row>
    <row r="157" spans="2:102" ht="12.75" hidden="1" customHeight="1" outlineLevel="1" x14ac:dyDescent="0.2">
      <c r="B157" s="33"/>
      <c r="C157" s="86" t="s">
        <v>30</v>
      </c>
      <c r="D157" s="56"/>
      <c r="E157" s="56"/>
      <c r="F157" s="56"/>
      <c r="G157" s="56"/>
      <c r="H157" s="56"/>
      <c r="I157" s="56"/>
      <c r="J157" s="56"/>
      <c r="K157" s="56">
        <v>-15</v>
      </c>
      <c r="L157" s="56"/>
      <c r="M157" s="56"/>
      <c r="N157" s="56"/>
      <c r="O157" s="56"/>
      <c r="P157" s="56"/>
      <c r="Q157" s="56"/>
      <c r="R157" s="56"/>
      <c r="S157" s="56"/>
      <c r="T157" s="56"/>
      <c r="U157" s="56"/>
      <c r="V157" s="56"/>
      <c r="W157" s="56">
        <v>-15</v>
      </c>
      <c r="X157" s="56"/>
      <c r="Y157" s="56"/>
      <c r="Z157" s="56"/>
      <c r="AA157" s="56">
        <v>-15</v>
      </c>
      <c r="AB157" s="56">
        <v>-30</v>
      </c>
      <c r="AC157" s="56">
        <v>-15</v>
      </c>
      <c r="AD157" s="56">
        <v>-15</v>
      </c>
      <c r="AE157" s="56"/>
      <c r="AF157" s="56">
        <v>-30</v>
      </c>
      <c r="AG157" s="56"/>
      <c r="AH157" s="56">
        <v>-15</v>
      </c>
      <c r="AI157" s="56"/>
      <c r="AJ157" s="56">
        <v>-30</v>
      </c>
      <c r="AK157" s="56">
        <v>-10</v>
      </c>
      <c r="AL157" s="56">
        <v>-15</v>
      </c>
      <c r="AM157" s="56">
        <v>-15</v>
      </c>
      <c r="AN157" s="56"/>
      <c r="AO157" s="56"/>
      <c r="AP157" s="56"/>
      <c r="AQ157" s="56">
        <v>-30</v>
      </c>
      <c r="AR157" s="56">
        <v>-30</v>
      </c>
      <c r="AS157" s="56"/>
      <c r="AT157" s="56"/>
      <c r="AU157" s="56"/>
      <c r="AV157" s="56"/>
      <c r="AW157" s="56">
        <v>-15</v>
      </c>
      <c r="AX157" s="56"/>
      <c r="AY157" s="56"/>
      <c r="AZ157" s="56"/>
      <c r="BA157" s="56">
        <v>-40</v>
      </c>
      <c r="BB157" s="56"/>
      <c r="BC157" s="56"/>
      <c r="BD157" s="56"/>
      <c r="BE157" s="56">
        <v>-10</v>
      </c>
      <c r="BF157" s="56">
        <v>-10</v>
      </c>
      <c r="BG157" s="56"/>
      <c r="BH157" s="56">
        <v>-20</v>
      </c>
      <c r="BI157" s="56">
        <v>-20</v>
      </c>
      <c r="BJ157" s="56"/>
      <c r="BK157" s="56">
        <v>-20</v>
      </c>
      <c r="BL157" s="56"/>
      <c r="BM157" s="56">
        <v>-20</v>
      </c>
      <c r="BN157" s="56"/>
      <c r="BO157" s="56">
        <v>-20</v>
      </c>
      <c r="BP157" s="56"/>
      <c r="BQ157" s="56">
        <v>-20</v>
      </c>
      <c r="BR157" s="56"/>
      <c r="BS157" s="56"/>
      <c r="BT157" s="56"/>
      <c r="BU157" s="56"/>
      <c r="BV157" s="56"/>
      <c r="BW157" s="56">
        <v>-40</v>
      </c>
      <c r="BX157" s="56">
        <v>-30</v>
      </c>
      <c r="BY157" s="56">
        <v>-25</v>
      </c>
      <c r="BZ157" s="56"/>
      <c r="CA157" s="56"/>
      <c r="CB157" s="56"/>
      <c r="CC157" s="56">
        <v>-40</v>
      </c>
      <c r="CD157" s="56"/>
      <c r="CE157" s="56"/>
      <c r="CF157" s="56">
        <v>-25</v>
      </c>
      <c r="CG157" s="56"/>
      <c r="CH157" s="56"/>
      <c r="CI157" s="56"/>
      <c r="CJ157" s="56">
        <v>-20</v>
      </c>
      <c r="CK157" s="56">
        <v>-25</v>
      </c>
      <c r="CL157" s="56"/>
      <c r="CM157" s="56"/>
      <c r="CN157" s="56"/>
      <c r="CO157" s="35"/>
      <c r="CP157" s="36">
        <f>+SUM(D157:CO157)</f>
        <v>-680</v>
      </c>
      <c r="CQ157" s="42"/>
    </row>
    <row r="158" spans="2:102" ht="12.75" hidden="1" customHeight="1" outlineLevel="1" x14ac:dyDescent="0.2">
      <c r="B158" s="40"/>
      <c r="C158" s="87" t="s">
        <v>31</v>
      </c>
      <c r="D158" s="57"/>
      <c r="E158" s="57"/>
      <c r="F158" s="57"/>
      <c r="G158" s="57"/>
      <c r="H158" s="57">
        <v>-15</v>
      </c>
      <c r="I158" s="57"/>
      <c r="J158" s="57"/>
      <c r="K158" s="57"/>
      <c r="L158" s="57"/>
      <c r="M158" s="57"/>
      <c r="N158" s="57"/>
      <c r="O158" s="57"/>
      <c r="P158" s="57"/>
      <c r="Q158" s="57"/>
      <c r="R158" s="57"/>
      <c r="S158" s="57"/>
      <c r="T158" s="57"/>
      <c r="U158" s="57"/>
      <c r="V158" s="57"/>
      <c r="W158" s="57"/>
      <c r="X158" s="57"/>
      <c r="Y158" s="57"/>
      <c r="Z158" s="57"/>
      <c r="AA158" s="57"/>
      <c r="AB158" s="57"/>
      <c r="AC158" s="57"/>
      <c r="AD158" s="57"/>
      <c r="AE158" s="57"/>
      <c r="AF158" s="57"/>
      <c r="AG158" s="57"/>
      <c r="AH158" s="57"/>
      <c r="AI158" s="57"/>
      <c r="AJ158" s="57"/>
      <c r="AK158" s="57"/>
      <c r="AL158" s="57"/>
      <c r="AM158" s="57"/>
      <c r="AN158" s="57"/>
      <c r="AO158" s="57"/>
      <c r="AP158" s="57"/>
      <c r="AQ158" s="57"/>
      <c r="AR158" s="57"/>
      <c r="AS158" s="57"/>
      <c r="AT158" s="57"/>
      <c r="AU158" s="57"/>
      <c r="AV158" s="57">
        <v>-15</v>
      </c>
      <c r="AW158" s="57"/>
      <c r="AX158" s="57"/>
      <c r="AY158" s="57"/>
      <c r="AZ158" s="57">
        <v>-40</v>
      </c>
      <c r="BA158" s="57"/>
      <c r="BB158" s="57"/>
      <c r="BC158" s="57">
        <v>-40</v>
      </c>
      <c r="BD158" s="57"/>
      <c r="BE158" s="57"/>
      <c r="BF158" s="57"/>
      <c r="BG158" s="57"/>
      <c r="BH158" s="57"/>
      <c r="BI158" s="57"/>
      <c r="BJ158" s="57"/>
      <c r="BK158" s="57"/>
      <c r="BL158" s="57"/>
      <c r="BM158" s="57"/>
      <c r="BN158" s="57"/>
      <c r="BO158" s="57"/>
      <c r="BP158" s="57"/>
      <c r="BQ158" s="57"/>
      <c r="BR158" s="57"/>
      <c r="BS158" s="57"/>
      <c r="BT158" s="57"/>
      <c r="BU158" s="57"/>
      <c r="BV158" s="57"/>
      <c r="BW158" s="57"/>
      <c r="BX158" s="57"/>
      <c r="BY158" s="57"/>
      <c r="BZ158" s="57"/>
      <c r="CA158" s="57"/>
      <c r="CB158" s="57"/>
      <c r="CC158" s="57">
        <v>-60</v>
      </c>
      <c r="CD158" s="57"/>
      <c r="CE158" s="57">
        <v>-20</v>
      </c>
      <c r="CF158" s="57">
        <v>-25</v>
      </c>
      <c r="CG158" s="57"/>
      <c r="CH158" s="57">
        <v>-30</v>
      </c>
      <c r="CI158" s="57"/>
      <c r="CJ158" s="57"/>
      <c r="CK158" s="57"/>
      <c r="CL158" s="57">
        <v>-60</v>
      </c>
      <c r="CM158" s="57"/>
      <c r="CN158" s="57"/>
      <c r="CO158" s="42"/>
      <c r="CP158" s="29">
        <f>+SUM(D158:CO158)</f>
        <v>-305</v>
      </c>
      <c r="CQ158" s="42"/>
    </row>
    <row r="159" spans="2:102" ht="12.75" hidden="1" customHeight="1" outlineLevel="1" x14ac:dyDescent="0.2">
      <c r="B159" s="33"/>
      <c r="C159" s="86" t="s">
        <v>32</v>
      </c>
      <c r="D159" s="56"/>
      <c r="E159" s="56">
        <v>-10</v>
      </c>
      <c r="F159" s="56">
        <v>-10</v>
      </c>
      <c r="G159" s="56"/>
      <c r="H159" s="56"/>
      <c r="I159" s="56"/>
      <c r="J159" s="56"/>
      <c r="K159" s="56"/>
      <c r="L159" s="56"/>
      <c r="M159" s="56"/>
      <c r="N159" s="56"/>
      <c r="O159" s="56"/>
      <c r="P159" s="56"/>
      <c r="Q159" s="56">
        <v>-15</v>
      </c>
      <c r="R159" s="56"/>
      <c r="S159" s="56"/>
      <c r="T159" s="56"/>
      <c r="U159" s="56"/>
      <c r="V159" s="56"/>
      <c r="W159" s="56"/>
      <c r="X159" s="56"/>
      <c r="Y159" s="56"/>
      <c r="Z159" s="56"/>
      <c r="AA159" s="56"/>
      <c r="AB159" s="56"/>
      <c r="AC159" s="56"/>
      <c r="AD159" s="56"/>
      <c r="AE159" s="56"/>
      <c r="AF159" s="56"/>
      <c r="AG159" s="56"/>
      <c r="AH159" s="56"/>
      <c r="AI159" s="56"/>
      <c r="AJ159" s="56"/>
      <c r="AK159" s="56"/>
      <c r="AL159" s="56"/>
      <c r="AM159" s="56"/>
      <c r="AN159" s="56"/>
      <c r="AO159" s="56"/>
      <c r="AP159" s="56"/>
      <c r="AQ159" s="56"/>
      <c r="AR159" s="56"/>
      <c r="AS159" s="56"/>
      <c r="AT159" s="56"/>
      <c r="AU159" s="56"/>
      <c r="AV159" s="56"/>
      <c r="AW159" s="56"/>
      <c r="AX159" s="56"/>
      <c r="AY159" s="56"/>
      <c r="AZ159" s="56"/>
      <c r="BA159" s="56"/>
      <c r="BB159" s="56"/>
      <c r="BC159" s="56"/>
      <c r="BD159" s="56"/>
      <c r="BE159" s="56"/>
      <c r="BF159" s="56"/>
      <c r="BG159" s="56"/>
      <c r="BH159" s="56"/>
      <c r="BI159" s="56"/>
      <c r="BJ159" s="56"/>
      <c r="BK159" s="56"/>
      <c r="BL159" s="56"/>
      <c r="BM159" s="56"/>
      <c r="BN159" s="56"/>
      <c r="BO159" s="56"/>
      <c r="BP159" s="56">
        <v>-40</v>
      </c>
      <c r="BQ159" s="56"/>
      <c r="BR159" s="56">
        <v>-40</v>
      </c>
      <c r="BS159" s="56">
        <v>-20</v>
      </c>
      <c r="BT159" s="56"/>
      <c r="BU159" s="56"/>
      <c r="BV159" s="56">
        <v>-60</v>
      </c>
      <c r="BW159" s="56"/>
      <c r="BX159" s="56"/>
      <c r="BY159" s="56"/>
      <c r="BZ159" s="56"/>
      <c r="CA159" s="56"/>
      <c r="CB159" s="56">
        <v>-60</v>
      </c>
      <c r="CC159" s="56"/>
      <c r="CD159" s="56"/>
      <c r="CE159" s="56"/>
      <c r="CF159" s="56"/>
      <c r="CG159" s="56"/>
      <c r="CH159" s="56">
        <v>-30</v>
      </c>
      <c r="CI159" s="56"/>
      <c r="CJ159" s="56"/>
      <c r="CK159" s="56">
        <v>-50</v>
      </c>
      <c r="CL159" s="56"/>
      <c r="CM159" s="56"/>
      <c r="CN159" s="56">
        <v>-30</v>
      </c>
      <c r="CO159" s="35"/>
      <c r="CP159" s="36">
        <f>+SUM(D159:CO159)</f>
        <v>-365</v>
      </c>
      <c r="CQ159" s="42"/>
    </row>
    <row r="160" spans="2:102" ht="12.75" hidden="1" customHeight="1" outlineLevel="1" x14ac:dyDescent="0.2">
      <c r="B160" s="40"/>
      <c r="C160" s="87" t="s">
        <v>33</v>
      </c>
      <c r="D160" s="57"/>
      <c r="E160" s="57"/>
      <c r="F160" s="57">
        <v>-10</v>
      </c>
      <c r="G160" s="57"/>
      <c r="H160" s="57"/>
      <c r="I160" s="57"/>
      <c r="J160" s="57"/>
      <c r="K160" s="57"/>
      <c r="L160" s="57"/>
      <c r="M160" s="57">
        <v>-15</v>
      </c>
      <c r="N160" s="57">
        <v>-15</v>
      </c>
      <c r="O160" s="57"/>
      <c r="P160" s="57"/>
      <c r="Q160" s="57"/>
      <c r="R160" s="57"/>
      <c r="S160" s="57"/>
      <c r="T160" s="57">
        <v>-15</v>
      </c>
      <c r="U160" s="57"/>
      <c r="V160" s="57">
        <v>-15</v>
      </c>
      <c r="W160" s="57"/>
      <c r="X160" s="57">
        <v>-15</v>
      </c>
      <c r="Y160" s="57">
        <v>-30</v>
      </c>
      <c r="Z160" s="57">
        <v>-15</v>
      </c>
      <c r="AA160" s="57"/>
      <c r="AB160" s="57"/>
      <c r="AC160" s="57"/>
      <c r="AD160" s="57"/>
      <c r="AE160" s="57"/>
      <c r="AF160" s="57"/>
      <c r="AG160" s="57"/>
      <c r="AH160" s="57"/>
      <c r="AI160" s="57"/>
      <c r="AJ160" s="57">
        <v>-15</v>
      </c>
      <c r="AK160" s="57"/>
      <c r="AL160" s="57"/>
      <c r="AM160" s="57"/>
      <c r="AN160" s="57"/>
      <c r="AO160" s="57"/>
      <c r="AP160" s="57"/>
      <c r="AQ160" s="57"/>
      <c r="AR160" s="57"/>
      <c r="AS160" s="57">
        <v>-20</v>
      </c>
      <c r="AT160" s="57">
        <v>-30</v>
      </c>
      <c r="AU160" s="57"/>
      <c r="AV160" s="57">
        <v>-30</v>
      </c>
      <c r="AW160" s="57"/>
      <c r="AX160" s="57"/>
      <c r="AY160" s="57"/>
      <c r="AZ160" s="57">
        <v>-20</v>
      </c>
      <c r="BA160" s="57"/>
      <c r="BB160" s="57"/>
      <c r="BC160" s="57"/>
      <c r="BD160" s="57">
        <v>-20</v>
      </c>
      <c r="BE160" s="57"/>
      <c r="BF160" s="57"/>
      <c r="BG160" s="57"/>
      <c r="BH160" s="57"/>
      <c r="BI160" s="57"/>
      <c r="BJ160" s="57"/>
      <c r="BK160" s="57"/>
      <c r="BL160" s="57">
        <v>-40</v>
      </c>
      <c r="BM160" s="57"/>
      <c r="BN160" s="57"/>
      <c r="BO160" s="57"/>
      <c r="BP160" s="57">
        <v>-20</v>
      </c>
      <c r="BQ160" s="57"/>
      <c r="BR160" s="57"/>
      <c r="BS160" s="57"/>
      <c r="BT160" s="57">
        <v>-20</v>
      </c>
      <c r="BU160" s="57">
        <v>-20</v>
      </c>
      <c r="BV160" s="57"/>
      <c r="BW160" s="57"/>
      <c r="BX160" s="57"/>
      <c r="BY160" s="57"/>
      <c r="BZ160" s="57">
        <v>-20</v>
      </c>
      <c r="CA160" s="57"/>
      <c r="CB160" s="57"/>
      <c r="CC160" s="57"/>
      <c r="CD160" s="57"/>
      <c r="CE160" s="57">
        <v>-40</v>
      </c>
      <c r="CF160" s="57"/>
      <c r="CG160" s="57"/>
      <c r="CH160" s="57"/>
      <c r="CI160" s="57"/>
      <c r="CJ160" s="57"/>
      <c r="CK160" s="57"/>
      <c r="CL160" s="57"/>
      <c r="CM160" s="57"/>
      <c r="CN160" s="57"/>
      <c r="CO160" s="42"/>
      <c r="CP160" s="29">
        <f>+SUM(D160:CO160)</f>
        <v>-425</v>
      </c>
      <c r="CQ160" s="42"/>
    </row>
    <row r="161" spans="2:96" ht="12.75" hidden="1" customHeight="1" outlineLevel="1" x14ac:dyDescent="0.2">
      <c r="B161" s="33"/>
      <c r="C161" s="86" t="s">
        <v>34</v>
      </c>
      <c r="D161" s="56">
        <v>-20</v>
      </c>
      <c r="E161" s="56">
        <v>-20</v>
      </c>
      <c r="F161" s="56"/>
      <c r="G161" s="56"/>
      <c r="H161" s="56"/>
      <c r="I161" s="56"/>
      <c r="J161" s="56"/>
      <c r="K161" s="56">
        <v>-15</v>
      </c>
      <c r="L161" s="56"/>
      <c r="M161" s="56"/>
      <c r="N161" s="56"/>
      <c r="O161" s="56">
        <v>-15</v>
      </c>
      <c r="P161" s="56"/>
      <c r="Q161" s="56">
        <v>-15</v>
      </c>
      <c r="R161" s="56"/>
      <c r="S161" s="56"/>
      <c r="T161" s="56"/>
      <c r="U161" s="56"/>
      <c r="V161" s="56"/>
      <c r="W161" s="56"/>
      <c r="X161" s="56"/>
      <c r="Y161" s="56"/>
      <c r="Z161" s="56"/>
      <c r="AA161" s="56"/>
      <c r="AB161" s="56"/>
      <c r="AC161" s="56"/>
      <c r="AD161" s="56"/>
      <c r="AE161" s="56"/>
      <c r="AF161" s="56"/>
      <c r="AG161" s="56"/>
      <c r="AH161" s="56"/>
      <c r="AI161" s="56"/>
      <c r="AJ161" s="56"/>
      <c r="AK161" s="56"/>
      <c r="AL161" s="56"/>
      <c r="AM161" s="56"/>
      <c r="AN161" s="56"/>
      <c r="AO161" s="56"/>
      <c r="AP161" s="56"/>
      <c r="AQ161" s="56"/>
      <c r="AR161" s="56"/>
      <c r="AS161" s="56"/>
      <c r="AT161" s="56"/>
      <c r="AU161" s="56"/>
      <c r="AV161" s="56"/>
      <c r="AW161" s="56"/>
      <c r="AX161" s="56"/>
      <c r="AY161" s="56"/>
      <c r="AZ161" s="56"/>
      <c r="BA161" s="56"/>
      <c r="BB161" s="56"/>
      <c r="BC161" s="56"/>
      <c r="BD161" s="56"/>
      <c r="BE161" s="56"/>
      <c r="BF161" s="56"/>
      <c r="BG161" s="56"/>
      <c r="BH161" s="56"/>
      <c r="BI161" s="56"/>
      <c r="BJ161" s="56"/>
      <c r="BK161" s="56">
        <v>-60</v>
      </c>
      <c r="BL161" s="56"/>
      <c r="BM161" s="56">
        <v>-20</v>
      </c>
      <c r="BN161" s="56"/>
      <c r="BO161" s="56"/>
      <c r="BP161" s="56">
        <v>-20</v>
      </c>
      <c r="BQ161" s="56">
        <v>-60</v>
      </c>
      <c r="BR161" s="56">
        <v>-60</v>
      </c>
      <c r="BS161" s="56">
        <v>-40</v>
      </c>
      <c r="BT161" s="56"/>
      <c r="BU161" s="56"/>
      <c r="BV161" s="56">
        <v>-20</v>
      </c>
      <c r="BW161" s="56"/>
      <c r="BX161" s="56"/>
      <c r="BY161" s="56"/>
      <c r="BZ161" s="56"/>
      <c r="CA161" s="56">
        <v>-40</v>
      </c>
      <c r="CB161" s="56">
        <v>-20</v>
      </c>
      <c r="CC161" s="56"/>
      <c r="CD161" s="56">
        <v>-40</v>
      </c>
      <c r="CE161" s="56"/>
      <c r="CF161" s="56"/>
      <c r="CG161" s="56"/>
      <c r="CH161" s="56">
        <v>-60</v>
      </c>
      <c r="CI161" s="56"/>
      <c r="CJ161" s="56"/>
      <c r="CK161" s="56"/>
      <c r="CL161" s="56"/>
      <c r="CM161" s="56"/>
      <c r="CN161" s="56">
        <v>-60</v>
      </c>
      <c r="CO161" s="35"/>
      <c r="CP161" s="36">
        <f>+SUM(D161:CO161)</f>
        <v>-585</v>
      </c>
      <c r="CQ161" s="42"/>
      <c r="CR161" s="62"/>
    </row>
    <row r="162" spans="2:96" ht="12.75" hidden="1" customHeight="1" outlineLevel="1" x14ac:dyDescent="0.2">
      <c r="B162" s="40"/>
      <c r="C162" s="87" t="s">
        <v>35</v>
      </c>
      <c r="D162" s="57"/>
      <c r="E162" s="57">
        <v>-10</v>
      </c>
      <c r="F162" s="57">
        <v>-10</v>
      </c>
      <c r="G162" s="57">
        <v>-10</v>
      </c>
      <c r="H162" s="57"/>
      <c r="I162" s="57"/>
      <c r="J162" s="57">
        <v>-30</v>
      </c>
      <c r="K162" s="57"/>
      <c r="L162" s="57">
        <v>-30</v>
      </c>
      <c r="M162" s="57">
        <v>-30</v>
      </c>
      <c r="N162" s="57">
        <v>-45</v>
      </c>
      <c r="O162" s="57"/>
      <c r="P162" s="57">
        <v>-15</v>
      </c>
      <c r="Q162" s="57">
        <v>-15</v>
      </c>
      <c r="R162" s="57">
        <v>-30</v>
      </c>
      <c r="S162" s="57">
        <v>-39.770000000000003</v>
      </c>
      <c r="T162" s="57">
        <v>-15</v>
      </c>
      <c r="U162" s="57"/>
      <c r="V162" s="57">
        <v>-15</v>
      </c>
      <c r="W162" s="57">
        <v>-15</v>
      </c>
      <c r="X162" s="57">
        <v>-15</v>
      </c>
      <c r="Y162" s="57">
        <v>-15</v>
      </c>
      <c r="Z162" s="57"/>
      <c r="AA162" s="57">
        <v>-40</v>
      </c>
      <c r="AB162" s="57">
        <v>-30</v>
      </c>
      <c r="AC162" s="57">
        <v>-15</v>
      </c>
      <c r="AD162" s="57"/>
      <c r="AE162" s="57">
        <v>-20</v>
      </c>
      <c r="AF162" s="57">
        <v>-15</v>
      </c>
      <c r="AG162" s="57">
        <v>-15</v>
      </c>
      <c r="AH162" s="57"/>
      <c r="AI162" s="57">
        <v>-30</v>
      </c>
      <c r="AJ162" s="57"/>
      <c r="AK162" s="57"/>
      <c r="AL162" s="57">
        <v>-30</v>
      </c>
      <c r="AM162" s="57"/>
      <c r="AN162" s="57">
        <v>-15</v>
      </c>
      <c r="AO162" s="57">
        <v>-10</v>
      </c>
      <c r="AP162" s="57">
        <v>-15</v>
      </c>
      <c r="AQ162" s="57">
        <v>-45</v>
      </c>
      <c r="AR162" s="57"/>
      <c r="AS162" s="57">
        <v>-40</v>
      </c>
      <c r="AT162" s="57">
        <v>-15</v>
      </c>
      <c r="AU162" s="57">
        <v>-15</v>
      </c>
      <c r="AV162" s="57">
        <v>-75</v>
      </c>
      <c r="AW162" s="57">
        <v>-30</v>
      </c>
      <c r="AX162" s="57"/>
      <c r="AY162" s="57"/>
      <c r="AZ162" s="57">
        <v>-80</v>
      </c>
      <c r="BA162" s="57">
        <v>-20</v>
      </c>
      <c r="BB162" s="57"/>
      <c r="BC162" s="57">
        <v>-20</v>
      </c>
      <c r="BD162" s="57">
        <v>-20</v>
      </c>
      <c r="BE162" s="57"/>
      <c r="BF162" s="57"/>
      <c r="BG162" s="57">
        <v>-15</v>
      </c>
      <c r="BH162" s="57">
        <v>-20</v>
      </c>
      <c r="BI162" s="57"/>
      <c r="BJ162" s="57"/>
      <c r="BK162" s="57"/>
      <c r="BL162" s="57">
        <v>-20</v>
      </c>
      <c r="BM162" s="57"/>
      <c r="BN162" s="57">
        <v>-40</v>
      </c>
      <c r="BO162" s="57">
        <v>-40</v>
      </c>
      <c r="BP162" s="57">
        <v>-20</v>
      </c>
      <c r="BQ162" s="57"/>
      <c r="BR162" s="57"/>
      <c r="BS162" s="57"/>
      <c r="BT162" s="57">
        <v>-40</v>
      </c>
      <c r="BU162" s="57">
        <v>-60</v>
      </c>
      <c r="BV162" s="57">
        <v>-20</v>
      </c>
      <c r="BW162" s="57">
        <v>-40</v>
      </c>
      <c r="BX162" s="57"/>
      <c r="BY162" s="57"/>
      <c r="BZ162" s="57">
        <v>-40</v>
      </c>
      <c r="CA162" s="57">
        <v>-20</v>
      </c>
      <c r="CB162" s="57">
        <v>-60</v>
      </c>
      <c r="CC162" s="57">
        <v>-40</v>
      </c>
      <c r="CD162" s="57">
        <v>-20</v>
      </c>
      <c r="CE162" s="57">
        <v>-40</v>
      </c>
      <c r="CF162" s="57"/>
      <c r="CG162" s="57">
        <v>-60</v>
      </c>
      <c r="CH162" s="57"/>
      <c r="CI162" s="57">
        <v>-30</v>
      </c>
      <c r="CJ162" s="57"/>
      <c r="CK162" s="57">
        <v>-25</v>
      </c>
      <c r="CL162" s="57">
        <v>-30</v>
      </c>
      <c r="CM162" s="57">
        <v>-60</v>
      </c>
      <c r="CN162" s="57"/>
      <c r="CO162" s="42"/>
      <c r="CP162" s="29">
        <f>+SUM(D162:CO162)</f>
        <v>-1674.77</v>
      </c>
      <c r="CQ162" s="42"/>
    </row>
    <row r="163" spans="2:96" ht="12.75" hidden="1" customHeight="1" outlineLevel="1" x14ac:dyDescent="0.2">
      <c r="B163" s="33"/>
      <c r="C163" s="86" t="s">
        <v>36</v>
      </c>
      <c r="D163" s="56"/>
      <c r="E163" s="56">
        <v>-10</v>
      </c>
      <c r="F163" s="56">
        <v>-10</v>
      </c>
      <c r="G163" s="56"/>
      <c r="H163" s="56">
        <v>-15</v>
      </c>
      <c r="I163" s="56"/>
      <c r="J163" s="56">
        <v>-15</v>
      </c>
      <c r="K163" s="56"/>
      <c r="L163" s="56">
        <v>-15</v>
      </c>
      <c r="M163" s="56"/>
      <c r="N163" s="56"/>
      <c r="O163" s="56"/>
      <c r="P163" s="56">
        <v>-15</v>
      </c>
      <c r="Q163" s="56"/>
      <c r="R163" s="56"/>
      <c r="S163" s="56"/>
      <c r="T163" s="56">
        <v>-30</v>
      </c>
      <c r="U163" s="56"/>
      <c r="V163" s="56">
        <v>-15</v>
      </c>
      <c r="W163" s="56"/>
      <c r="X163" s="56"/>
      <c r="Y163" s="56"/>
      <c r="Z163" s="56"/>
      <c r="AA163" s="56">
        <v>-15</v>
      </c>
      <c r="AB163" s="56"/>
      <c r="AC163" s="56"/>
      <c r="AD163" s="56"/>
      <c r="AE163" s="56"/>
      <c r="AF163" s="56"/>
      <c r="AG163" s="56"/>
      <c r="AH163" s="56"/>
      <c r="AI163" s="56"/>
      <c r="AJ163" s="56"/>
      <c r="AK163" s="56"/>
      <c r="AL163" s="56"/>
      <c r="AM163" s="56"/>
      <c r="AN163" s="56">
        <v>-30</v>
      </c>
      <c r="AO163" s="56">
        <v>-10</v>
      </c>
      <c r="AP163" s="56"/>
      <c r="AQ163" s="56">
        <v>-15</v>
      </c>
      <c r="AR163" s="56"/>
      <c r="AS163" s="56"/>
      <c r="AT163" s="56"/>
      <c r="AU163" s="56">
        <v>-30</v>
      </c>
      <c r="AV163" s="56">
        <v>-30</v>
      </c>
      <c r="AW163" s="56"/>
      <c r="AX163" s="56"/>
      <c r="AY163" s="56"/>
      <c r="AZ163" s="56"/>
      <c r="BA163" s="56"/>
      <c r="BB163" s="56"/>
      <c r="BC163" s="56"/>
      <c r="BD163" s="56"/>
      <c r="BE163" s="56"/>
      <c r="BF163" s="56"/>
      <c r="BG163" s="56">
        <v>-15</v>
      </c>
      <c r="BH163" s="56">
        <v>-20</v>
      </c>
      <c r="BI163" s="56"/>
      <c r="BJ163" s="56"/>
      <c r="BK163" s="56"/>
      <c r="BL163" s="56"/>
      <c r="BM163" s="56"/>
      <c r="BN163" s="56"/>
      <c r="BO163" s="56"/>
      <c r="BP163" s="56"/>
      <c r="BQ163" s="56"/>
      <c r="BR163" s="56"/>
      <c r="BS163" s="56"/>
      <c r="BT163" s="56"/>
      <c r="BU163" s="56"/>
      <c r="BV163" s="56"/>
      <c r="BW163" s="56"/>
      <c r="BX163" s="56"/>
      <c r="BY163" s="56"/>
      <c r="BZ163" s="56"/>
      <c r="CA163" s="56"/>
      <c r="CB163" s="56"/>
      <c r="CC163" s="56"/>
      <c r="CD163" s="56"/>
      <c r="CE163" s="56">
        <v>-20</v>
      </c>
      <c r="CF163" s="56"/>
      <c r="CG163" s="56"/>
      <c r="CH163" s="56"/>
      <c r="CI163" s="56"/>
      <c r="CJ163" s="56"/>
      <c r="CK163" s="56">
        <v>-25</v>
      </c>
      <c r="CL163" s="56"/>
      <c r="CM163" s="56"/>
      <c r="CN163" s="56"/>
      <c r="CO163" s="35"/>
      <c r="CP163" s="36">
        <f>+SUM(D163:CO163)</f>
        <v>-335</v>
      </c>
      <c r="CQ163" s="42"/>
    </row>
    <row r="164" spans="2:96" ht="12.75" hidden="1" customHeight="1" outlineLevel="1" x14ac:dyDescent="0.2">
      <c r="B164" s="40"/>
      <c r="C164" s="87" t="s">
        <v>37</v>
      </c>
      <c r="D164" s="57"/>
      <c r="E164" s="57"/>
      <c r="F164" s="57"/>
      <c r="G164" s="57"/>
      <c r="H164" s="57"/>
      <c r="I164" s="57"/>
      <c r="J164" s="57"/>
      <c r="K164" s="57"/>
      <c r="L164" s="57"/>
      <c r="M164" s="57"/>
      <c r="N164" s="57"/>
      <c r="O164" s="57"/>
      <c r="P164" s="57"/>
      <c r="Q164" s="57"/>
      <c r="R164" s="57"/>
      <c r="S164" s="57"/>
      <c r="T164" s="57"/>
      <c r="U164" s="57"/>
      <c r="V164" s="57"/>
      <c r="W164" s="57"/>
      <c r="X164" s="57">
        <v>-15</v>
      </c>
      <c r="Y164" s="57"/>
      <c r="Z164" s="57"/>
      <c r="AA164" s="57"/>
      <c r="AB164" s="57"/>
      <c r="AC164" s="57"/>
      <c r="AD164" s="57"/>
      <c r="AE164" s="57"/>
      <c r="AF164" s="57"/>
      <c r="AG164" s="57"/>
      <c r="AH164" s="57"/>
      <c r="AI164" s="57"/>
      <c r="AJ164" s="57"/>
      <c r="AK164" s="57"/>
      <c r="AL164" s="57"/>
      <c r="AM164" s="57"/>
      <c r="AN164" s="57"/>
      <c r="AO164" s="57"/>
      <c r="AP164" s="57"/>
      <c r="AQ164" s="57"/>
      <c r="AR164" s="57"/>
      <c r="AS164" s="57"/>
      <c r="AT164" s="57"/>
      <c r="AU164" s="57"/>
      <c r="AV164" s="57"/>
      <c r="AW164" s="57"/>
      <c r="AX164" s="57"/>
      <c r="AY164" s="57"/>
      <c r="AZ164" s="57"/>
      <c r="BA164" s="57"/>
      <c r="BB164" s="57"/>
      <c r="BC164" s="57"/>
      <c r="BD164" s="57"/>
      <c r="BE164" s="57"/>
      <c r="BF164" s="57"/>
      <c r="BG164" s="57"/>
      <c r="BH164" s="57"/>
      <c r="BI164" s="57"/>
      <c r="BJ164" s="57"/>
      <c r="BK164" s="57"/>
      <c r="BL164" s="57"/>
      <c r="BM164" s="57"/>
      <c r="BN164" s="57"/>
      <c r="BO164" s="57"/>
      <c r="BP164" s="57"/>
      <c r="BQ164" s="57"/>
      <c r="BR164" s="57"/>
      <c r="BS164" s="57"/>
      <c r="BT164" s="57"/>
      <c r="BU164" s="57"/>
      <c r="BV164" s="57"/>
      <c r="BW164" s="57"/>
      <c r="BX164" s="57"/>
      <c r="BY164" s="57"/>
      <c r="BZ164" s="57"/>
      <c r="CA164" s="57"/>
      <c r="CB164" s="57"/>
      <c r="CC164" s="57"/>
      <c r="CD164" s="57"/>
      <c r="CE164" s="57"/>
      <c r="CF164" s="57"/>
      <c r="CG164" s="57"/>
      <c r="CH164" s="57"/>
      <c r="CI164" s="57"/>
      <c r="CJ164" s="57"/>
      <c r="CK164" s="57"/>
      <c r="CL164" s="57"/>
      <c r="CM164" s="57"/>
      <c r="CN164" s="57"/>
      <c r="CO164" s="42"/>
      <c r="CP164" s="29">
        <f>+SUM(D164:CO164)</f>
        <v>-15</v>
      </c>
      <c r="CQ164" s="42"/>
    </row>
    <row r="165" spans="2:96" ht="12.75" hidden="1" customHeight="1" outlineLevel="1" x14ac:dyDescent="0.2">
      <c r="B165" s="33"/>
      <c r="C165" s="86" t="s">
        <v>38</v>
      </c>
      <c r="D165" s="56"/>
      <c r="E165" s="56"/>
      <c r="F165" s="56"/>
      <c r="G165" s="56"/>
      <c r="H165" s="56"/>
      <c r="I165" s="56"/>
      <c r="J165" s="56"/>
      <c r="K165" s="56"/>
      <c r="L165" s="56"/>
      <c r="M165" s="56"/>
      <c r="N165" s="56"/>
      <c r="O165" s="56"/>
      <c r="P165" s="56"/>
      <c r="Q165" s="56"/>
      <c r="R165" s="56"/>
      <c r="S165" s="56"/>
      <c r="T165" s="56"/>
      <c r="U165" s="56"/>
      <c r="V165" s="56"/>
      <c r="W165" s="56"/>
      <c r="X165" s="56">
        <v>-15</v>
      </c>
      <c r="Y165" s="56"/>
      <c r="Z165" s="56"/>
      <c r="AA165" s="56"/>
      <c r="AB165" s="56"/>
      <c r="AC165" s="56"/>
      <c r="AD165" s="56"/>
      <c r="AE165" s="56"/>
      <c r="AF165" s="56"/>
      <c r="AG165" s="56"/>
      <c r="AH165" s="56"/>
      <c r="AI165" s="56"/>
      <c r="AJ165" s="56"/>
      <c r="AK165" s="56"/>
      <c r="AL165" s="56"/>
      <c r="AM165" s="56"/>
      <c r="AN165" s="56"/>
      <c r="AO165" s="56"/>
      <c r="AP165" s="56"/>
      <c r="AQ165" s="56"/>
      <c r="AR165" s="56"/>
      <c r="AS165" s="56"/>
      <c r="AT165" s="56"/>
      <c r="AU165" s="56"/>
      <c r="AV165" s="56"/>
      <c r="AW165" s="56"/>
      <c r="AX165" s="56"/>
      <c r="AY165" s="56"/>
      <c r="AZ165" s="56"/>
      <c r="BA165" s="56"/>
      <c r="BB165" s="56"/>
      <c r="BC165" s="56"/>
      <c r="BD165" s="56"/>
      <c r="BE165" s="56"/>
      <c r="BF165" s="56"/>
      <c r="BG165" s="56"/>
      <c r="BH165" s="56"/>
      <c r="BI165" s="56"/>
      <c r="BJ165" s="56"/>
      <c r="BK165" s="56"/>
      <c r="BL165" s="56"/>
      <c r="BM165" s="56"/>
      <c r="BN165" s="56"/>
      <c r="BO165" s="56"/>
      <c r="BP165" s="56"/>
      <c r="BQ165" s="56"/>
      <c r="BR165" s="56"/>
      <c r="BS165" s="56"/>
      <c r="BT165" s="56"/>
      <c r="BU165" s="56"/>
      <c r="BV165" s="56"/>
      <c r="BW165" s="56"/>
      <c r="BX165" s="56"/>
      <c r="BY165" s="56"/>
      <c r="BZ165" s="56"/>
      <c r="CA165" s="56"/>
      <c r="CB165" s="56"/>
      <c r="CC165" s="56"/>
      <c r="CD165" s="56"/>
      <c r="CE165" s="56"/>
      <c r="CF165" s="56"/>
      <c r="CG165" s="56"/>
      <c r="CH165" s="56"/>
      <c r="CI165" s="56"/>
      <c r="CJ165" s="56"/>
      <c r="CK165" s="56"/>
      <c r="CL165" s="56"/>
      <c r="CM165" s="56"/>
      <c r="CN165" s="56"/>
      <c r="CO165" s="35"/>
      <c r="CP165" s="36">
        <f>+SUM(D165:CO165)</f>
        <v>-15</v>
      </c>
      <c r="CQ165" s="42"/>
    </row>
    <row r="166" spans="2:96" ht="12.75" hidden="1" customHeight="1" outlineLevel="1" x14ac:dyDescent="0.2">
      <c r="B166" s="40"/>
      <c r="C166" s="87" t="s">
        <v>39</v>
      </c>
      <c r="D166" s="57"/>
      <c r="E166" s="57"/>
      <c r="F166" s="57"/>
      <c r="G166" s="57"/>
      <c r="H166" s="57"/>
      <c r="I166" s="57"/>
      <c r="J166" s="57"/>
      <c r="K166" s="57"/>
      <c r="L166" s="57"/>
      <c r="M166" s="57"/>
      <c r="N166" s="57"/>
      <c r="O166" s="57"/>
      <c r="P166" s="57"/>
      <c r="Q166" s="57"/>
      <c r="R166" s="57"/>
      <c r="S166" s="57"/>
      <c r="T166" s="57"/>
      <c r="U166" s="57"/>
      <c r="V166" s="57"/>
      <c r="W166" s="57"/>
      <c r="X166" s="57"/>
      <c r="Y166" s="57"/>
      <c r="Z166" s="57">
        <v>-15</v>
      </c>
      <c r="AA166" s="57"/>
      <c r="AB166" s="57"/>
      <c r="AC166" s="57"/>
      <c r="AD166" s="57"/>
      <c r="AE166" s="57"/>
      <c r="AF166" s="57"/>
      <c r="AG166" s="57"/>
      <c r="AH166" s="57"/>
      <c r="AI166" s="57"/>
      <c r="AJ166" s="57"/>
      <c r="AK166" s="57"/>
      <c r="AL166" s="57"/>
      <c r="AM166" s="57"/>
      <c r="AN166" s="57"/>
      <c r="AO166" s="57"/>
      <c r="AP166" s="57"/>
      <c r="AQ166" s="57"/>
      <c r="AR166" s="57"/>
      <c r="AS166" s="57"/>
      <c r="AT166" s="57"/>
      <c r="AU166" s="57"/>
      <c r="AV166" s="57"/>
      <c r="AW166" s="57"/>
      <c r="AX166" s="57"/>
      <c r="AY166" s="57"/>
      <c r="AZ166" s="57"/>
      <c r="BA166" s="57"/>
      <c r="BB166" s="57"/>
      <c r="BC166" s="57"/>
      <c r="BD166" s="57"/>
      <c r="BE166" s="57"/>
      <c r="BF166" s="57"/>
      <c r="BG166" s="57"/>
      <c r="BH166" s="57"/>
      <c r="BI166" s="57"/>
      <c r="BJ166" s="57"/>
      <c r="BK166" s="57"/>
      <c r="BL166" s="57"/>
      <c r="BM166" s="57"/>
      <c r="BN166" s="57"/>
      <c r="BO166" s="57"/>
      <c r="BP166" s="57"/>
      <c r="BQ166" s="57"/>
      <c r="BR166" s="57"/>
      <c r="BS166" s="57"/>
      <c r="BT166" s="57"/>
      <c r="BU166" s="57"/>
      <c r="BV166" s="57"/>
      <c r="BW166" s="57"/>
      <c r="BX166" s="57"/>
      <c r="BY166" s="57"/>
      <c r="BZ166" s="57"/>
      <c r="CA166" s="57"/>
      <c r="CB166" s="57"/>
      <c r="CC166" s="57"/>
      <c r="CD166" s="57"/>
      <c r="CE166" s="57"/>
      <c r="CF166" s="57"/>
      <c r="CG166" s="57"/>
      <c r="CH166" s="57"/>
      <c r="CI166" s="57"/>
      <c r="CJ166" s="57"/>
      <c r="CK166" s="57"/>
      <c r="CL166" s="57"/>
      <c r="CM166" s="57"/>
      <c r="CN166" s="57"/>
      <c r="CO166" s="42"/>
      <c r="CP166" s="29">
        <f>+SUM(D166:CO166)</f>
        <v>-15</v>
      </c>
      <c r="CQ166" s="42"/>
    </row>
    <row r="167" spans="2:96" ht="12.75" hidden="1" customHeight="1" outlineLevel="1" x14ac:dyDescent="0.2">
      <c r="B167" s="33"/>
      <c r="C167" s="86" t="s">
        <v>40</v>
      </c>
      <c r="D167" s="56"/>
      <c r="E167" s="56"/>
      <c r="F167" s="56"/>
      <c r="G167" s="56"/>
      <c r="H167" s="56"/>
      <c r="I167" s="56"/>
      <c r="J167" s="56"/>
      <c r="K167" s="56"/>
      <c r="L167" s="56"/>
      <c r="M167" s="56"/>
      <c r="N167" s="56"/>
      <c r="O167" s="56"/>
      <c r="P167" s="56"/>
      <c r="Q167" s="56"/>
      <c r="R167" s="56"/>
      <c r="S167" s="56"/>
      <c r="T167" s="56"/>
      <c r="U167" s="56"/>
      <c r="V167" s="56"/>
      <c r="W167" s="56"/>
      <c r="X167" s="56"/>
      <c r="Y167" s="56"/>
      <c r="Z167" s="56"/>
      <c r="AA167" s="56"/>
      <c r="AB167" s="56">
        <v>-15</v>
      </c>
      <c r="AC167" s="56">
        <v>-15</v>
      </c>
      <c r="AD167" s="56">
        <v>-15</v>
      </c>
      <c r="AE167" s="56">
        <v>-60</v>
      </c>
      <c r="AF167" s="56"/>
      <c r="AG167" s="56"/>
      <c r="AH167" s="56">
        <v>-30</v>
      </c>
      <c r="AI167" s="56"/>
      <c r="AJ167" s="56"/>
      <c r="AK167" s="56"/>
      <c r="AL167" s="56">
        <v>-45</v>
      </c>
      <c r="AM167" s="56">
        <v>-30</v>
      </c>
      <c r="AN167" s="56"/>
      <c r="AO167" s="56"/>
      <c r="AP167" s="56"/>
      <c r="AQ167" s="56"/>
      <c r="AR167" s="56">
        <v>-15</v>
      </c>
      <c r="AS167" s="56"/>
      <c r="AT167" s="56">
        <v>-30</v>
      </c>
      <c r="AU167" s="56"/>
      <c r="AV167" s="56"/>
      <c r="AW167" s="56"/>
      <c r="AX167" s="56"/>
      <c r="AY167" s="56"/>
      <c r="AZ167" s="56"/>
      <c r="BA167" s="56">
        <v>-40</v>
      </c>
      <c r="BB167" s="56"/>
      <c r="BC167" s="56"/>
      <c r="BD167" s="56"/>
      <c r="BE167" s="56">
        <v>-10</v>
      </c>
      <c r="BF167" s="56">
        <v>-10</v>
      </c>
      <c r="BG167" s="56"/>
      <c r="BH167" s="56">
        <v>-60</v>
      </c>
      <c r="BI167" s="56">
        <v>-20</v>
      </c>
      <c r="BJ167" s="56"/>
      <c r="BK167" s="56">
        <v>-20</v>
      </c>
      <c r="BL167" s="56"/>
      <c r="BM167" s="56"/>
      <c r="BN167" s="56"/>
      <c r="BO167" s="56">
        <v>-40</v>
      </c>
      <c r="BP167" s="56">
        <v>-80</v>
      </c>
      <c r="BQ167" s="56">
        <v>-20</v>
      </c>
      <c r="BR167" s="56"/>
      <c r="BS167" s="56"/>
      <c r="BT167" s="56"/>
      <c r="BU167" s="56"/>
      <c r="BV167" s="56"/>
      <c r="BW167" s="56">
        <v>-20</v>
      </c>
      <c r="BX167" s="56">
        <v>-30</v>
      </c>
      <c r="BY167" s="56">
        <v>-100</v>
      </c>
      <c r="BZ167" s="56">
        <v>-20</v>
      </c>
      <c r="CA167" s="56"/>
      <c r="CB167" s="56"/>
      <c r="CC167" s="56"/>
      <c r="CD167" s="56"/>
      <c r="CE167" s="56"/>
      <c r="CF167" s="56"/>
      <c r="CG167" s="56"/>
      <c r="CH167" s="56">
        <v>-30</v>
      </c>
      <c r="CI167" s="56"/>
      <c r="CJ167" s="56">
        <v>-20</v>
      </c>
      <c r="CK167" s="56">
        <v>-25</v>
      </c>
      <c r="CL167" s="56">
        <v>-90</v>
      </c>
      <c r="CM167" s="56">
        <v>-60</v>
      </c>
      <c r="CN167" s="56">
        <v>-60</v>
      </c>
      <c r="CO167" s="35"/>
      <c r="CP167" s="36">
        <f>+SUM(D167:CO167)</f>
        <v>-1010</v>
      </c>
      <c r="CQ167" s="42"/>
    </row>
    <row r="168" spans="2:96" ht="12.75" hidden="1" customHeight="1" outlineLevel="1" x14ac:dyDescent="0.2">
      <c r="B168" s="40"/>
      <c r="C168" s="87" t="s">
        <v>41</v>
      </c>
      <c r="D168" s="57"/>
      <c r="E168" s="57"/>
      <c r="F168" s="57"/>
      <c r="G168" s="57"/>
      <c r="H168" s="57"/>
      <c r="I168" s="57"/>
      <c r="J168" s="57"/>
      <c r="K168" s="57"/>
      <c r="L168" s="57"/>
      <c r="M168" s="57"/>
      <c r="N168" s="57"/>
      <c r="O168" s="57"/>
      <c r="P168" s="57"/>
      <c r="Q168" s="57"/>
      <c r="R168" s="57"/>
      <c r="S168" s="57"/>
      <c r="T168" s="57"/>
      <c r="U168" s="57"/>
      <c r="V168" s="57"/>
      <c r="W168" s="57"/>
      <c r="X168" s="57"/>
      <c r="Y168" s="57"/>
      <c r="Z168" s="57"/>
      <c r="AA168" s="57"/>
      <c r="AB168" s="57"/>
      <c r="AC168" s="57"/>
      <c r="AD168" s="57"/>
      <c r="AE168" s="57"/>
      <c r="AF168" s="57"/>
      <c r="AG168" s="57"/>
      <c r="AH168" s="57"/>
      <c r="AI168" s="57"/>
      <c r="AJ168" s="57"/>
      <c r="AK168" s="57"/>
      <c r="AL168" s="57"/>
      <c r="AM168" s="57"/>
      <c r="AN168" s="57"/>
      <c r="AO168" s="57"/>
      <c r="AP168" s="57"/>
      <c r="AQ168" s="57"/>
      <c r="AR168" s="57"/>
      <c r="AS168" s="57">
        <v>-20</v>
      </c>
      <c r="AT168" s="57"/>
      <c r="AU168" s="57"/>
      <c r="AV168" s="57"/>
      <c r="AW168" s="57"/>
      <c r="AX168" s="57"/>
      <c r="AY168" s="57"/>
      <c r="AZ168" s="57"/>
      <c r="BA168" s="57"/>
      <c r="BB168" s="57"/>
      <c r="BC168" s="57"/>
      <c r="BD168" s="57"/>
      <c r="BE168" s="57"/>
      <c r="BF168" s="57"/>
      <c r="BG168" s="57"/>
      <c r="BH168" s="57"/>
      <c r="BI168" s="57"/>
      <c r="BJ168" s="57"/>
      <c r="BK168" s="57"/>
      <c r="BL168" s="57"/>
      <c r="BM168" s="57"/>
      <c r="BN168" s="57"/>
      <c r="BO168" s="57"/>
      <c r="BP168" s="57"/>
      <c r="BQ168" s="57"/>
      <c r="BR168" s="57"/>
      <c r="BS168" s="57"/>
      <c r="BT168" s="57"/>
      <c r="BU168" s="57"/>
      <c r="BV168" s="57"/>
      <c r="BW168" s="57"/>
      <c r="BX168" s="57"/>
      <c r="BY168" s="57"/>
      <c r="BZ168" s="57"/>
      <c r="CA168" s="57"/>
      <c r="CB168" s="57"/>
      <c r="CC168" s="57"/>
      <c r="CD168" s="57"/>
      <c r="CE168" s="57"/>
      <c r="CF168" s="57"/>
      <c r="CG168" s="57"/>
      <c r="CH168" s="57"/>
      <c r="CI168" s="57"/>
      <c r="CJ168" s="57"/>
      <c r="CK168" s="57"/>
      <c r="CL168" s="57"/>
      <c r="CM168" s="57"/>
      <c r="CN168" s="57"/>
      <c r="CO168" s="42"/>
      <c r="CP168" s="29">
        <f>+SUM(D168:CO168)</f>
        <v>-20</v>
      </c>
      <c r="CQ168" s="42"/>
    </row>
    <row r="169" spans="2:96" ht="12.75" hidden="1" customHeight="1" outlineLevel="1" x14ac:dyDescent="0.2">
      <c r="B169" s="33"/>
      <c r="C169" s="86" t="s">
        <v>42</v>
      </c>
      <c r="D169" s="56"/>
      <c r="E169" s="56"/>
      <c r="F169" s="56"/>
      <c r="G169" s="56"/>
      <c r="H169" s="56"/>
      <c r="I169" s="56"/>
      <c r="J169" s="56"/>
      <c r="K169" s="56"/>
      <c r="L169" s="56"/>
      <c r="M169" s="56"/>
      <c r="N169" s="56"/>
      <c r="O169" s="56"/>
      <c r="P169" s="56"/>
      <c r="Q169" s="56"/>
      <c r="R169" s="56"/>
      <c r="S169" s="56"/>
      <c r="T169" s="56"/>
      <c r="U169" s="56"/>
      <c r="V169" s="56"/>
      <c r="W169" s="56"/>
      <c r="X169" s="56"/>
      <c r="Y169" s="56"/>
      <c r="Z169" s="56"/>
      <c r="AA169" s="56"/>
      <c r="AB169" s="56"/>
      <c r="AC169" s="56"/>
      <c r="AD169" s="56"/>
      <c r="AE169" s="56"/>
      <c r="AF169" s="56"/>
      <c r="AG169" s="56"/>
      <c r="AH169" s="56"/>
      <c r="AI169" s="56"/>
      <c r="AJ169" s="56"/>
      <c r="AK169" s="56"/>
      <c r="AL169" s="56"/>
      <c r="AM169" s="56"/>
      <c r="AN169" s="56"/>
      <c r="AO169" s="56"/>
      <c r="AP169" s="56"/>
      <c r="AQ169" s="56"/>
      <c r="AR169" s="56"/>
      <c r="AS169" s="56">
        <v>-40</v>
      </c>
      <c r="AT169" s="56"/>
      <c r="AU169" s="56"/>
      <c r="AV169" s="56"/>
      <c r="AW169" s="56"/>
      <c r="AX169" s="56"/>
      <c r="AY169" s="56"/>
      <c r="AZ169" s="56"/>
      <c r="BA169" s="56"/>
      <c r="BB169" s="56"/>
      <c r="BC169" s="56"/>
      <c r="BD169" s="56"/>
      <c r="BE169" s="56"/>
      <c r="BF169" s="56"/>
      <c r="BG169" s="56"/>
      <c r="BH169" s="56"/>
      <c r="BI169" s="56"/>
      <c r="BJ169" s="56"/>
      <c r="BK169" s="56"/>
      <c r="BL169" s="56"/>
      <c r="BM169" s="56"/>
      <c r="BN169" s="56"/>
      <c r="BO169" s="56"/>
      <c r="BP169" s="56"/>
      <c r="BQ169" s="56"/>
      <c r="BR169" s="56"/>
      <c r="BS169" s="56"/>
      <c r="BT169" s="56"/>
      <c r="BU169" s="56"/>
      <c r="BV169" s="56"/>
      <c r="BW169" s="56"/>
      <c r="BX169" s="56"/>
      <c r="BY169" s="56"/>
      <c r="BZ169" s="56"/>
      <c r="CA169" s="56"/>
      <c r="CB169" s="56"/>
      <c r="CC169" s="56"/>
      <c r="CD169" s="56"/>
      <c r="CE169" s="56"/>
      <c r="CF169" s="56"/>
      <c r="CG169" s="56"/>
      <c r="CH169" s="56"/>
      <c r="CI169" s="56"/>
      <c r="CJ169" s="56"/>
      <c r="CK169" s="56"/>
      <c r="CL169" s="56"/>
      <c r="CM169" s="56"/>
      <c r="CN169" s="56"/>
      <c r="CO169" s="35"/>
      <c r="CP169" s="36">
        <f>+SUM(D169:CO169)</f>
        <v>-40</v>
      </c>
      <c r="CQ169" s="42"/>
    </row>
    <row r="170" spans="2:96" ht="12.75" hidden="1" customHeight="1" outlineLevel="1" x14ac:dyDescent="0.2">
      <c r="B170" s="40"/>
      <c r="C170" s="87" t="s">
        <v>43</v>
      </c>
      <c r="D170" s="57"/>
      <c r="E170" s="57"/>
      <c r="F170" s="57"/>
      <c r="G170" s="57"/>
      <c r="H170" s="57"/>
      <c r="I170" s="57"/>
      <c r="J170" s="57"/>
      <c r="K170" s="57"/>
      <c r="L170" s="57"/>
      <c r="M170" s="57"/>
      <c r="N170" s="57"/>
      <c r="O170" s="57"/>
      <c r="P170" s="57"/>
      <c r="Q170" s="57"/>
      <c r="R170" s="57"/>
      <c r="S170" s="57"/>
      <c r="T170" s="57"/>
      <c r="U170" s="57"/>
      <c r="V170" s="57"/>
      <c r="W170" s="57"/>
      <c r="X170" s="57"/>
      <c r="Y170" s="57"/>
      <c r="Z170" s="57"/>
      <c r="AA170" s="57"/>
      <c r="AB170" s="57"/>
      <c r="AC170" s="57"/>
      <c r="AD170" s="57"/>
      <c r="AE170" s="57"/>
      <c r="AF170" s="57"/>
      <c r="AG170" s="57"/>
      <c r="AH170" s="57"/>
      <c r="AI170" s="57"/>
      <c r="AJ170" s="57"/>
      <c r="AK170" s="57"/>
      <c r="AL170" s="57"/>
      <c r="AM170" s="57"/>
      <c r="AN170" s="57"/>
      <c r="AO170" s="57"/>
      <c r="AP170" s="57"/>
      <c r="AQ170" s="57"/>
      <c r="AR170" s="57"/>
      <c r="AS170" s="57">
        <v>-40</v>
      </c>
      <c r="AT170" s="57"/>
      <c r="AU170" s="57"/>
      <c r="AV170" s="57"/>
      <c r="AW170" s="57">
        <v>-30</v>
      </c>
      <c r="AX170" s="57"/>
      <c r="AY170" s="57"/>
      <c r="AZ170" s="57"/>
      <c r="BA170" s="57"/>
      <c r="BB170" s="57">
        <v>-40</v>
      </c>
      <c r="BC170" s="57"/>
      <c r="BD170" s="57"/>
      <c r="BE170" s="57"/>
      <c r="BF170" s="57"/>
      <c r="BG170" s="57"/>
      <c r="BH170" s="57"/>
      <c r="BI170" s="57"/>
      <c r="BJ170" s="57">
        <v>-100</v>
      </c>
      <c r="BK170" s="57"/>
      <c r="BL170" s="57">
        <v>-20</v>
      </c>
      <c r="BM170" s="57"/>
      <c r="BN170" s="57"/>
      <c r="BO170" s="57"/>
      <c r="BP170" s="57">
        <v>-100</v>
      </c>
      <c r="BQ170" s="57"/>
      <c r="BR170" s="57"/>
      <c r="BS170" s="57"/>
      <c r="BT170" s="57">
        <v>-40</v>
      </c>
      <c r="BU170" s="57">
        <v>-40</v>
      </c>
      <c r="BV170" s="57"/>
      <c r="BW170" s="57">
        <v>-20</v>
      </c>
      <c r="BX170" s="57">
        <v>-60</v>
      </c>
      <c r="BY170" s="57">
        <v>-50</v>
      </c>
      <c r="BZ170" s="57"/>
      <c r="CA170" s="57">
        <v>-20</v>
      </c>
      <c r="CB170" s="57">
        <v>-20</v>
      </c>
      <c r="CC170" s="57">
        <v>-40</v>
      </c>
      <c r="CD170" s="57">
        <v>-40</v>
      </c>
      <c r="CE170" s="57">
        <v>-20</v>
      </c>
      <c r="CF170" s="57"/>
      <c r="CG170" s="57"/>
      <c r="CH170" s="57"/>
      <c r="CI170" s="57">
        <v>-60</v>
      </c>
      <c r="CJ170" s="57"/>
      <c r="CK170" s="57"/>
      <c r="CL170" s="57">
        <v>-60</v>
      </c>
      <c r="CM170" s="57">
        <v>-60</v>
      </c>
      <c r="CN170" s="57">
        <v>-30</v>
      </c>
      <c r="CO170" s="42"/>
      <c r="CP170" s="29">
        <f>+SUM(D170:CO170)</f>
        <v>-890</v>
      </c>
      <c r="CQ170" s="42"/>
    </row>
    <row r="171" spans="2:96" ht="12.75" hidden="1" customHeight="1" outlineLevel="1" x14ac:dyDescent="0.2">
      <c r="B171" s="33"/>
      <c r="C171" s="86" t="s">
        <v>44</v>
      </c>
      <c r="D171" s="56"/>
      <c r="E171" s="56"/>
      <c r="F171" s="56"/>
      <c r="G171" s="56"/>
      <c r="H171" s="56"/>
      <c r="I171" s="56"/>
      <c r="J171" s="56"/>
      <c r="K171" s="56"/>
      <c r="L171" s="56"/>
      <c r="M171" s="56"/>
      <c r="N171" s="56"/>
      <c r="O171" s="56"/>
      <c r="P171" s="56"/>
      <c r="Q171" s="56"/>
      <c r="R171" s="56"/>
      <c r="S171" s="56"/>
      <c r="T171" s="56"/>
      <c r="U171" s="56"/>
      <c r="V171" s="56"/>
      <c r="W171" s="56"/>
      <c r="X171" s="56"/>
      <c r="Y171" s="56"/>
      <c r="Z171" s="56"/>
      <c r="AA171" s="56"/>
      <c r="AB171" s="56"/>
      <c r="AC171" s="56"/>
      <c r="AD171" s="56"/>
      <c r="AE171" s="56"/>
      <c r="AF171" s="56"/>
      <c r="AG171" s="56"/>
      <c r="AH171" s="56"/>
      <c r="AI171" s="56"/>
      <c r="AJ171" s="56"/>
      <c r="AK171" s="56"/>
      <c r="AL171" s="56"/>
      <c r="AM171" s="56"/>
      <c r="AN171" s="56"/>
      <c r="AO171" s="56"/>
      <c r="AP171" s="56"/>
      <c r="AQ171" s="56"/>
      <c r="AR171" s="56"/>
      <c r="AS171" s="56">
        <v>-20</v>
      </c>
      <c r="AT171" s="56"/>
      <c r="AU171" s="56"/>
      <c r="AV171" s="56"/>
      <c r="AW171" s="56">
        <v>-15</v>
      </c>
      <c r="AX171" s="56"/>
      <c r="AY171" s="56"/>
      <c r="AZ171" s="56"/>
      <c r="BA171" s="56"/>
      <c r="BB171" s="56">
        <v>-40</v>
      </c>
      <c r="BC171" s="56"/>
      <c r="BD171" s="56"/>
      <c r="BE171" s="56"/>
      <c r="BF171" s="56"/>
      <c r="BG171" s="56"/>
      <c r="BH171" s="56"/>
      <c r="BI171" s="56"/>
      <c r="BJ171" s="56">
        <v>-60</v>
      </c>
      <c r="BK171" s="56"/>
      <c r="BL171" s="56"/>
      <c r="BM171" s="56"/>
      <c r="BN171" s="56"/>
      <c r="BO171" s="56"/>
      <c r="BP171" s="56"/>
      <c r="BQ171" s="56"/>
      <c r="BR171" s="56"/>
      <c r="BS171" s="56"/>
      <c r="BT171" s="56"/>
      <c r="BU171" s="56"/>
      <c r="BV171" s="56"/>
      <c r="BW171" s="56"/>
      <c r="BX171" s="56"/>
      <c r="BY171" s="56"/>
      <c r="BZ171" s="56"/>
      <c r="CA171" s="56"/>
      <c r="CB171" s="56"/>
      <c r="CC171" s="56"/>
      <c r="CD171" s="56"/>
      <c r="CE171" s="56"/>
      <c r="CF171" s="56"/>
      <c r="CG171" s="56"/>
      <c r="CH171" s="56"/>
      <c r="CI171" s="56"/>
      <c r="CJ171" s="56"/>
      <c r="CK171" s="56"/>
      <c r="CL171" s="56"/>
      <c r="CM171" s="56"/>
      <c r="CN171" s="56"/>
      <c r="CO171" s="35"/>
      <c r="CP171" s="36">
        <f>+SUM(D171:CO171)</f>
        <v>-135</v>
      </c>
      <c r="CQ171" s="42"/>
    </row>
    <row r="172" spans="2:96" ht="12.75" hidden="1" customHeight="1" outlineLevel="1" x14ac:dyDescent="0.2">
      <c r="B172" s="40"/>
      <c r="C172" s="87" t="s">
        <v>45</v>
      </c>
      <c r="D172" s="57"/>
      <c r="E172" s="57"/>
      <c r="F172" s="57"/>
      <c r="G172" s="57"/>
      <c r="H172" s="57"/>
      <c r="I172" s="57"/>
      <c r="J172" s="57"/>
      <c r="K172" s="57"/>
      <c r="L172" s="57"/>
      <c r="M172" s="57"/>
      <c r="N172" s="57"/>
      <c r="O172" s="57"/>
      <c r="P172" s="57"/>
      <c r="Q172" s="57"/>
      <c r="R172" s="57"/>
      <c r="S172" s="57"/>
      <c r="T172" s="57"/>
      <c r="U172" s="57"/>
      <c r="V172" s="57"/>
      <c r="W172" s="57"/>
      <c r="X172" s="57"/>
      <c r="Y172" s="57"/>
      <c r="Z172" s="57"/>
      <c r="AA172" s="57"/>
      <c r="AB172" s="57"/>
      <c r="AC172" s="57"/>
      <c r="AD172" s="57"/>
      <c r="AE172" s="57"/>
      <c r="AF172" s="57"/>
      <c r="AG172" s="57"/>
      <c r="AH172" s="57"/>
      <c r="AI172" s="57"/>
      <c r="AJ172" s="57"/>
      <c r="AK172" s="57"/>
      <c r="AL172" s="57"/>
      <c r="AM172" s="57"/>
      <c r="AN172" s="57"/>
      <c r="AO172" s="57"/>
      <c r="AP172" s="57"/>
      <c r="AQ172" s="57"/>
      <c r="AR172" s="57"/>
      <c r="AS172" s="57"/>
      <c r="AT172" s="57"/>
      <c r="AU172" s="57"/>
      <c r="AV172" s="57"/>
      <c r="AW172" s="57">
        <v>-30</v>
      </c>
      <c r="AX172" s="57"/>
      <c r="AY172" s="57"/>
      <c r="AZ172" s="57"/>
      <c r="BA172" s="57"/>
      <c r="BB172" s="57"/>
      <c r="BC172" s="57"/>
      <c r="BD172" s="57"/>
      <c r="BE172" s="57"/>
      <c r="BF172" s="57"/>
      <c r="BG172" s="57"/>
      <c r="BH172" s="57"/>
      <c r="BI172" s="57"/>
      <c r="BJ172" s="57"/>
      <c r="BK172" s="57"/>
      <c r="BL172" s="57"/>
      <c r="BM172" s="57"/>
      <c r="BN172" s="57"/>
      <c r="BO172" s="57"/>
      <c r="BP172" s="57"/>
      <c r="BQ172" s="57"/>
      <c r="BR172" s="57"/>
      <c r="BS172" s="57"/>
      <c r="BT172" s="57"/>
      <c r="BU172" s="57"/>
      <c r="BV172" s="57"/>
      <c r="BW172" s="57"/>
      <c r="BX172" s="57"/>
      <c r="BY172" s="57"/>
      <c r="BZ172" s="57"/>
      <c r="CA172" s="57"/>
      <c r="CB172" s="57"/>
      <c r="CC172" s="57"/>
      <c r="CD172" s="57"/>
      <c r="CE172" s="57"/>
      <c r="CF172" s="57"/>
      <c r="CG172" s="57"/>
      <c r="CH172" s="57"/>
      <c r="CI172" s="57"/>
      <c r="CJ172" s="57"/>
      <c r="CK172" s="57"/>
      <c r="CL172" s="57"/>
      <c r="CM172" s="57"/>
      <c r="CN172" s="57"/>
      <c r="CO172" s="42"/>
      <c r="CP172" s="29">
        <f>+SUM(D172:CO172)</f>
        <v>-30</v>
      </c>
      <c r="CQ172" s="42"/>
    </row>
    <row r="173" spans="2:96" ht="12.75" hidden="1" customHeight="1" outlineLevel="1" x14ac:dyDescent="0.2">
      <c r="B173" s="33"/>
      <c r="C173" s="86" t="s">
        <v>46</v>
      </c>
      <c r="D173" s="56"/>
      <c r="E173" s="56"/>
      <c r="F173" s="56"/>
      <c r="G173" s="56"/>
      <c r="H173" s="56"/>
      <c r="I173" s="56"/>
      <c r="J173" s="56"/>
      <c r="K173" s="56"/>
      <c r="L173" s="56"/>
      <c r="M173" s="56"/>
      <c r="N173" s="56"/>
      <c r="O173" s="56"/>
      <c r="P173" s="56"/>
      <c r="Q173" s="56"/>
      <c r="R173" s="56"/>
      <c r="S173" s="56"/>
      <c r="T173" s="56"/>
      <c r="U173" s="56"/>
      <c r="V173" s="56"/>
      <c r="W173" s="56"/>
      <c r="X173" s="56"/>
      <c r="Y173" s="56"/>
      <c r="Z173" s="56"/>
      <c r="AA173" s="56"/>
      <c r="AB173" s="56"/>
      <c r="AC173" s="56"/>
      <c r="AD173" s="56"/>
      <c r="AE173" s="56"/>
      <c r="AF173" s="56"/>
      <c r="AG173" s="56"/>
      <c r="AH173" s="56"/>
      <c r="AI173" s="56"/>
      <c r="AJ173" s="56"/>
      <c r="AK173" s="56"/>
      <c r="AL173" s="56"/>
      <c r="AM173" s="56"/>
      <c r="AN173" s="56"/>
      <c r="AO173" s="56"/>
      <c r="AP173" s="56"/>
      <c r="AQ173" s="56"/>
      <c r="AR173" s="56"/>
      <c r="AS173" s="56"/>
      <c r="AT173" s="56"/>
      <c r="AU173" s="56"/>
      <c r="AV173" s="56"/>
      <c r="AW173" s="56">
        <v>-15</v>
      </c>
      <c r="AX173" s="56"/>
      <c r="AY173" s="56"/>
      <c r="AZ173" s="56"/>
      <c r="BA173" s="56"/>
      <c r="BB173" s="56"/>
      <c r="BC173" s="56"/>
      <c r="BD173" s="56"/>
      <c r="BE173" s="56"/>
      <c r="BF173" s="56"/>
      <c r="BG173" s="56"/>
      <c r="BH173" s="56"/>
      <c r="BI173" s="56"/>
      <c r="BJ173" s="56"/>
      <c r="BK173" s="56"/>
      <c r="BL173" s="56"/>
      <c r="BM173" s="56"/>
      <c r="BN173" s="56"/>
      <c r="BO173" s="56"/>
      <c r="BP173" s="56"/>
      <c r="BQ173" s="56"/>
      <c r="BR173" s="56"/>
      <c r="BS173" s="56"/>
      <c r="BT173" s="56"/>
      <c r="BU173" s="56"/>
      <c r="BV173" s="56"/>
      <c r="BW173" s="56"/>
      <c r="BX173" s="56"/>
      <c r="BY173" s="56"/>
      <c r="BZ173" s="56"/>
      <c r="CA173" s="56"/>
      <c r="CB173" s="56"/>
      <c r="CC173" s="56"/>
      <c r="CD173" s="56"/>
      <c r="CE173" s="56"/>
      <c r="CF173" s="56"/>
      <c r="CG173" s="56"/>
      <c r="CH173" s="56"/>
      <c r="CI173" s="56"/>
      <c r="CJ173" s="56"/>
      <c r="CK173" s="56"/>
      <c r="CL173" s="56"/>
      <c r="CM173" s="56"/>
      <c r="CN173" s="56"/>
      <c r="CO173" s="35"/>
      <c r="CP173" s="36">
        <f>+SUM(D173:CO173)</f>
        <v>-15</v>
      </c>
      <c r="CQ173" s="42"/>
    </row>
    <row r="174" spans="2:96" ht="12.75" hidden="1" customHeight="1" outlineLevel="1" x14ac:dyDescent="0.2">
      <c r="B174" s="40"/>
      <c r="C174" s="87" t="s">
        <v>47</v>
      </c>
      <c r="D174" s="57"/>
      <c r="E174" s="57"/>
      <c r="F174" s="57"/>
      <c r="G174" s="57"/>
      <c r="H174" s="57"/>
      <c r="I174" s="57"/>
      <c r="J174" s="57"/>
      <c r="K174" s="57"/>
      <c r="L174" s="57"/>
      <c r="M174" s="57"/>
      <c r="N174" s="57"/>
      <c r="O174" s="57"/>
      <c r="P174" s="57"/>
      <c r="Q174" s="57"/>
      <c r="R174" s="57"/>
      <c r="S174" s="57"/>
      <c r="T174" s="57"/>
      <c r="U174" s="57"/>
      <c r="V174" s="57"/>
      <c r="W174" s="57"/>
      <c r="X174" s="57"/>
      <c r="Y174" s="57"/>
      <c r="Z174" s="57"/>
      <c r="AA174" s="57"/>
      <c r="AB174" s="57"/>
      <c r="AC174" s="57"/>
      <c r="AD174" s="57"/>
      <c r="AE174" s="57"/>
      <c r="AF174" s="57"/>
      <c r="AG174" s="57"/>
      <c r="AH174" s="57"/>
      <c r="AI174" s="57"/>
      <c r="AJ174" s="57"/>
      <c r="AK174" s="57"/>
      <c r="AL174" s="57"/>
      <c r="AM174" s="57"/>
      <c r="AN174" s="57"/>
      <c r="AO174" s="57"/>
      <c r="AP174" s="57"/>
      <c r="AQ174" s="57"/>
      <c r="AR174" s="57"/>
      <c r="AS174" s="57"/>
      <c r="AT174" s="57"/>
      <c r="AU174" s="57"/>
      <c r="AV174" s="57"/>
      <c r="AW174" s="57"/>
      <c r="AX174" s="57"/>
      <c r="AY174" s="57"/>
      <c r="AZ174" s="57">
        <v>-40</v>
      </c>
      <c r="BA174" s="57"/>
      <c r="BB174" s="57"/>
      <c r="BC174" s="57"/>
      <c r="BD174" s="57">
        <v>-20</v>
      </c>
      <c r="BE174" s="57"/>
      <c r="BF174" s="57">
        <v>-10</v>
      </c>
      <c r="BG174" s="57">
        <v>-15</v>
      </c>
      <c r="BH174" s="57">
        <v>-40</v>
      </c>
      <c r="BI174" s="57"/>
      <c r="BJ174" s="57"/>
      <c r="BK174" s="57"/>
      <c r="BL174" s="57">
        <v>-60</v>
      </c>
      <c r="BM174" s="57"/>
      <c r="BN174" s="57">
        <v>-20</v>
      </c>
      <c r="BO174" s="57"/>
      <c r="BP174" s="57">
        <v>-40</v>
      </c>
      <c r="BQ174" s="57">
        <v>-20</v>
      </c>
      <c r="BR174" s="57"/>
      <c r="BS174" s="57"/>
      <c r="BT174" s="57">
        <v>-20</v>
      </c>
      <c r="BU174" s="57">
        <v>-20</v>
      </c>
      <c r="BV174" s="57"/>
      <c r="BW174" s="57"/>
      <c r="BX174" s="57"/>
      <c r="BY174" s="57"/>
      <c r="BZ174" s="57"/>
      <c r="CA174" s="57"/>
      <c r="CB174" s="57"/>
      <c r="CC174" s="57"/>
      <c r="CD174" s="57">
        <v>-40</v>
      </c>
      <c r="CE174" s="57"/>
      <c r="CF174" s="57"/>
      <c r="CG174" s="57"/>
      <c r="CH174" s="57"/>
      <c r="CI174" s="57"/>
      <c r="CJ174" s="57"/>
      <c r="CK174" s="57"/>
      <c r="CL174" s="57"/>
      <c r="CM174" s="57">
        <v>-90</v>
      </c>
      <c r="CN174" s="57"/>
      <c r="CO174" s="42"/>
      <c r="CP174" s="29">
        <f>+SUM(D174:CO174)</f>
        <v>-435</v>
      </c>
      <c r="CQ174" s="42"/>
    </row>
    <row r="175" spans="2:96" ht="12.75" hidden="1" customHeight="1" outlineLevel="1" x14ac:dyDescent="0.2">
      <c r="B175" s="33"/>
      <c r="C175" s="86" t="s">
        <v>48</v>
      </c>
      <c r="D175" s="56"/>
      <c r="E175" s="56"/>
      <c r="F175" s="56"/>
      <c r="G175" s="56"/>
      <c r="H175" s="56"/>
      <c r="I175" s="56"/>
      <c r="J175" s="56"/>
      <c r="K175" s="56"/>
      <c r="L175" s="56"/>
      <c r="M175" s="56"/>
      <c r="N175" s="56"/>
      <c r="O175" s="56"/>
      <c r="P175" s="56"/>
      <c r="Q175" s="56"/>
      <c r="R175" s="56"/>
      <c r="S175" s="56"/>
      <c r="T175" s="56"/>
      <c r="U175" s="56"/>
      <c r="V175" s="56"/>
      <c r="W175" s="56"/>
      <c r="X175" s="56"/>
      <c r="Y175" s="56"/>
      <c r="Z175" s="56"/>
      <c r="AA175" s="56"/>
      <c r="AB175" s="56"/>
      <c r="AC175" s="56"/>
      <c r="AD175" s="56"/>
      <c r="AE175" s="56"/>
      <c r="AF175" s="56"/>
      <c r="AG175" s="56"/>
      <c r="AH175" s="56"/>
      <c r="AI175" s="56"/>
      <c r="AJ175" s="56"/>
      <c r="AK175" s="56"/>
      <c r="AL175" s="56"/>
      <c r="AM175" s="56"/>
      <c r="AN175" s="56"/>
      <c r="AO175" s="56"/>
      <c r="AP175" s="56"/>
      <c r="AQ175" s="56"/>
      <c r="AR175" s="56"/>
      <c r="AS175" s="56"/>
      <c r="AT175" s="56"/>
      <c r="AU175" s="56"/>
      <c r="AV175" s="56"/>
      <c r="AW175" s="56"/>
      <c r="AX175" s="56"/>
      <c r="AY175" s="56"/>
      <c r="AZ175" s="56"/>
      <c r="BA175" s="56"/>
      <c r="BB175" s="56"/>
      <c r="BC175" s="56"/>
      <c r="BD175" s="56">
        <v>-40</v>
      </c>
      <c r="BE175" s="56"/>
      <c r="BF175" s="56"/>
      <c r="BG175" s="56"/>
      <c r="BH175" s="56"/>
      <c r="BI175" s="56"/>
      <c r="BJ175" s="56"/>
      <c r="BK175" s="56"/>
      <c r="BL175" s="56"/>
      <c r="BM175" s="56"/>
      <c r="BN175" s="56"/>
      <c r="BO175" s="56"/>
      <c r="BP175" s="56"/>
      <c r="BQ175" s="56"/>
      <c r="BR175" s="56"/>
      <c r="BS175" s="56"/>
      <c r="BT175" s="56"/>
      <c r="BU175" s="56"/>
      <c r="BV175" s="56"/>
      <c r="BW175" s="56"/>
      <c r="BX175" s="56"/>
      <c r="BY175" s="56"/>
      <c r="BZ175" s="56"/>
      <c r="CA175" s="56"/>
      <c r="CB175" s="56"/>
      <c r="CC175" s="56"/>
      <c r="CD175" s="56"/>
      <c r="CE175" s="56"/>
      <c r="CF175" s="56"/>
      <c r="CG175" s="56"/>
      <c r="CH175" s="56"/>
      <c r="CI175" s="56"/>
      <c r="CJ175" s="56"/>
      <c r="CK175" s="56"/>
      <c r="CL175" s="56"/>
      <c r="CM175" s="56"/>
      <c r="CN175" s="56"/>
      <c r="CO175" s="35"/>
      <c r="CP175" s="36">
        <f>+SUM(D175:CO175)</f>
        <v>-40</v>
      </c>
      <c r="CQ175" s="42"/>
    </row>
    <row r="176" spans="2:96" ht="12.75" hidden="1" customHeight="1" outlineLevel="1" x14ac:dyDescent="0.2">
      <c r="B176" s="40"/>
      <c r="C176" s="87" t="s">
        <v>49</v>
      </c>
      <c r="D176" s="57"/>
      <c r="E176" s="57"/>
      <c r="F176" s="57"/>
      <c r="G176" s="57"/>
      <c r="H176" s="57"/>
      <c r="I176" s="57"/>
      <c r="J176" s="57"/>
      <c r="K176" s="57"/>
      <c r="L176" s="57"/>
      <c r="M176" s="57"/>
      <c r="N176" s="57"/>
      <c r="O176" s="57"/>
      <c r="P176" s="57"/>
      <c r="Q176" s="57"/>
      <c r="R176" s="57"/>
      <c r="S176" s="57"/>
      <c r="T176" s="57"/>
      <c r="U176" s="57"/>
      <c r="V176" s="57"/>
      <c r="W176" s="57"/>
      <c r="X176" s="57"/>
      <c r="Y176" s="57"/>
      <c r="Z176" s="57"/>
      <c r="AA176" s="57"/>
      <c r="AB176" s="57"/>
      <c r="AC176" s="57"/>
      <c r="AD176" s="57"/>
      <c r="AE176" s="57"/>
      <c r="AF176" s="57"/>
      <c r="AG176" s="57"/>
      <c r="AH176" s="57"/>
      <c r="AI176" s="57"/>
      <c r="AJ176" s="57"/>
      <c r="AK176" s="57"/>
      <c r="AL176" s="57"/>
      <c r="AM176" s="57"/>
      <c r="AN176" s="57"/>
      <c r="AO176" s="57"/>
      <c r="AP176" s="57"/>
      <c r="AQ176" s="57"/>
      <c r="AR176" s="57"/>
      <c r="AS176" s="57"/>
      <c r="AT176" s="57"/>
      <c r="AU176" s="57"/>
      <c r="AV176" s="57"/>
      <c r="AW176" s="57"/>
      <c r="AX176" s="57"/>
      <c r="AY176" s="57"/>
      <c r="AZ176" s="57"/>
      <c r="BA176" s="57"/>
      <c r="BB176" s="57"/>
      <c r="BC176" s="57"/>
      <c r="BD176" s="57"/>
      <c r="BE176" s="57"/>
      <c r="BF176" s="57"/>
      <c r="BG176" s="57"/>
      <c r="BH176" s="57"/>
      <c r="BI176" s="57">
        <v>-20</v>
      </c>
      <c r="BJ176" s="57"/>
      <c r="BK176" s="57"/>
      <c r="BL176" s="57"/>
      <c r="BM176" s="57"/>
      <c r="BN176" s="57"/>
      <c r="BO176" s="57"/>
      <c r="BP176" s="57"/>
      <c r="BQ176" s="57"/>
      <c r="BR176" s="57"/>
      <c r="BS176" s="57"/>
      <c r="BT176" s="57"/>
      <c r="BU176" s="57"/>
      <c r="BV176" s="57"/>
      <c r="BW176" s="57"/>
      <c r="BX176" s="57"/>
      <c r="BY176" s="57"/>
      <c r="BZ176" s="57"/>
      <c r="CA176" s="57"/>
      <c r="CB176" s="57"/>
      <c r="CC176" s="57"/>
      <c r="CD176" s="57"/>
      <c r="CE176" s="57"/>
      <c r="CF176" s="57"/>
      <c r="CG176" s="57"/>
      <c r="CH176" s="57"/>
      <c r="CI176" s="57"/>
      <c r="CJ176" s="57">
        <v>-20</v>
      </c>
      <c r="CK176" s="57"/>
      <c r="CL176" s="57"/>
      <c r="CM176" s="57"/>
      <c r="CN176" s="57"/>
      <c r="CO176" s="42"/>
      <c r="CP176" s="29">
        <f>+SUM(D176:CO176)</f>
        <v>-40</v>
      </c>
      <c r="CQ176" s="42"/>
    </row>
    <row r="177" spans="2:95" ht="12.75" hidden="1" customHeight="1" outlineLevel="1" x14ac:dyDescent="0.2">
      <c r="B177" s="33"/>
      <c r="C177" s="86" t="s">
        <v>50</v>
      </c>
      <c r="D177" s="56"/>
      <c r="E177" s="56"/>
      <c r="F177" s="56"/>
      <c r="G177" s="56"/>
      <c r="H177" s="56"/>
      <c r="I177" s="56"/>
      <c r="J177" s="56"/>
      <c r="K177" s="56"/>
      <c r="L177" s="56"/>
      <c r="M177" s="56"/>
      <c r="N177" s="56"/>
      <c r="O177" s="56"/>
      <c r="P177" s="56"/>
      <c r="Q177" s="56"/>
      <c r="R177" s="56"/>
      <c r="S177" s="56"/>
      <c r="T177" s="56"/>
      <c r="U177" s="56"/>
      <c r="V177" s="56"/>
      <c r="W177" s="56"/>
      <c r="X177" s="56"/>
      <c r="Y177" s="56"/>
      <c r="Z177" s="56"/>
      <c r="AA177" s="56"/>
      <c r="AB177" s="56"/>
      <c r="AC177" s="56"/>
      <c r="AD177" s="56"/>
      <c r="AE177" s="56"/>
      <c r="AF177" s="56"/>
      <c r="AG177" s="56"/>
      <c r="AH177" s="56"/>
      <c r="AI177" s="56"/>
      <c r="AJ177" s="56"/>
      <c r="AK177" s="56"/>
      <c r="AL177" s="56"/>
      <c r="AM177" s="56"/>
      <c r="AN177" s="56"/>
      <c r="AO177" s="56"/>
      <c r="AP177" s="56"/>
      <c r="AQ177" s="56"/>
      <c r="AR177" s="56"/>
      <c r="AS177" s="56"/>
      <c r="AT177" s="56"/>
      <c r="AU177" s="56"/>
      <c r="AV177" s="56"/>
      <c r="AW177" s="56"/>
      <c r="AX177" s="56"/>
      <c r="AY177" s="56"/>
      <c r="AZ177" s="56"/>
      <c r="BA177" s="56"/>
      <c r="BB177" s="56"/>
      <c r="BC177" s="56"/>
      <c r="BD177" s="56"/>
      <c r="BE177" s="56"/>
      <c r="BF177" s="56"/>
      <c r="BG177" s="56"/>
      <c r="BH177" s="56"/>
      <c r="BI177" s="56"/>
      <c r="BJ177" s="56"/>
      <c r="BK177" s="56"/>
      <c r="BL177" s="56"/>
      <c r="BM177" s="56">
        <v>-20</v>
      </c>
      <c r="BN177" s="56"/>
      <c r="BO177" s="56"/>
      <c r="BP177" s="56"/>
      <c r="BQ177" s="56"/>
      <c r="BR177" s="56"/>
      <c r="BS177" s="56"/>
      <c r="BT177" s="56"/>
      <c r="BU177" s="56"/>
      <c r="BV177" s="56"/>
      <c r="BW177" s="56"/>
      <c r="BX177" s="56"/>
      <c r="BY177" s="56"/>
      <c r="BZ177" s="56"/>
      <c r="CA177" s="56"/>
      <c r="CB177" s="56"/>
      <c r="CC177" s="56"/>
      <c r="CD177" s="56"/>
      <c r="CE177" s="56"/>
      <c r="CF177" s="56"/>
      <c r="CG177" s="56"/>
      <c r="CH177" s="56"/>
      <c r="CI177" s="56"/>
      <c r="CJ177" s="56"/>
      <c r="CK177" s="56"/>
      <c r="CL177" s="56"/>
      <c r="CM177" s="56"/>
      <c r="CN177" s="56"/>
      <c r="CO177" s="35"/>
      <c r="CP177" s="36">
        <f>+SUM(D177:CO177)</f>
        <v>-20</v>
      </c>
      <c r="CQ177" s="42"/>
    </row>
    <row r="178" spans="2:95" ht="12.75" hidden="1" customHeight="1" outlineLevel="1" x14ac:dyDescent="0.2">
      <c r="B178" s="40"/>
      <c r="C178" s="87" t="s">
        <v>51</v>
      </c>
      <c r="D178" s="57"/>
      <c r="E178" s="57"/>
      <c r="F178" s="57"/>
      <c r="G178" s="57"/>
      <c r="H178" s="57"/>
      <c r="I178" s="57"/>
      <c r="J178" s="57"/>
      <c r="K178" s="57"/>
      <c r="L178" s="57"/>
      <c r="M178" s="57"/>
      <c r="N178" s="57"/>
      <c r="O178" s="57"/>
      <c r="P178" s="57"/>
      <c r="Q178" s="57"/>
      <c r="R178" s="57"/>
      <c r="S178" s="57"/>
      <c r="T178" s="57"/>
      <c r="U178" s="57"/>
      <c r="V178" s="57"/>
      <c r="W178" s="57"/>
      <c r="X178" s="57"/>
      <c r="Y178" s="57"/>
      <c r="Z178" s="57"/>
      <c r="AA178" s="57"/>
      <c r="AB178" s="57"/>
      <c r="AC178" s="57"/>
      <c r="AD178" s="57"/>
      <c r="AE178" s="57"/>
      <c r="AF178" s="57"/>
      <c r="AG178" s="57"/>
      <c r="AH178" s="57"/>
      <c r="AI178" s="57"/>
      <c r="AJ178" s="57"/>
      <c r="AK178" s="57"/>
      <c r="AL178" s="57"/>
      <c r="AM178" s="57"/>
      <c r="AN178" s="57"/>
      <c r="AO178" s="57"/>
      <c r="AP178" s="57"/>
      <c r="AQ178" s="57"/>
      <c r="AR178" s="57"/>
      <c r="AS178" s="57"/>
      <c r="AT178" s="57"/>
      <c r="AU178" s="57"/>
      <c r="AV178" s="57"/>
      <c r="AW178" s="57"/>
      <c r="AX178" s="57"/>
      <c r="AY178" s="57"/>
      <c r="AZ178" s="57"/>
      <c r="BA178" s="57"/>
      <c r="BB178" s="57"/>
      <c r="BC178" s="57"/>
      <c r="BD178" s="57"/>
      <c r="BE178" s="57"/>
      <c r="BF178" s="57"/>
      <c r="BG178" s="57"/>
      <c r="BH178" s="57"/>
      <c r="BI178" s="57"/>
      <c r="BJ178" s="57"/>
      <c r="BK178" s="57"/>
      <c r="BL178" s="57"/>
      <c r="BM178" s="57"/>
      <c r="BN178" s="57">
        <v>-20</v>
      </c>
      <c r="BO178" s="57"/>
      <c r="BP178" s="57"/>
      <c r="BQ178" s="57"/>
      <c r="BR178" s="57"/>
      <c r="BS178" s="57"/>
      <c r="BT178" s="57"/>
      <c r="BU178" s="57"/>
      <c r="BV178" s="57"/>
      <c r="BW178" s="57"/>
      <c r="BX178" s="57"/>
      <c r="BY178" s="57"/>
      <c r="BZ178" s="57"/>
      <c r="CA178" s="57"/>
      <c r="CB178" s="57"/>
      <c r="CC178" s="57"/>
      <c r="CD178" s="57"/>
      <c r="CE178" s="57"/>
      <c r="CF178" s="57"/>
      <c r="CG178" s="57"/>
      <c r="CH178" s="57"/>
      <c r="CI178" s="57"/>
      <c r="CJ178" s="57"/>
      <c r="CK178" s="57"/>
      <c r="CL178" s="57"/>
      <c r="CM178" s="57"/>
      <c r="CN178" s="57"/>
      <c r="CO178" s="42"/>
      <c r="CP178" s="29">
        <f>+SUM(D178:CO178)</f>
        <v>-20</v>
      </c>
      <c r="CQ178" s="42"/>
    </row>
    <row r="179" spans="2:95" ht="12.75" hidden="1" customHeight="1" outlineLevel="1" x14ac:dyDescent="0.2">
      <c r="B179" s="33"/>
      <c r="C179" s="86" t="s">
        <v>52</v>
      </c>
      <c r="D179" s="56"/>
      <c r="E179" s="56"/>
      <c r="F179" s="56"/>
      <c r="G179" s="56"/>
      <c r="H179" s="56"/>
      <c r="I179" s="56"/>
      <c r="J179" s="56"/>
      <c r="K179" s="56"/>
      <c r="L179" s="56"/>
      <c r="M179" s="56"/>
      <c r="N179" s="56"/>
      <c r="O179" s="56"/>
      <c r="P179" s="56"/>
      <c r="Q179" s="56"/>
      <c r="R179" s="56"/>
      <c r="S179" s="56"/>
      <c r="T179" s="56"/>
      <c r="U179" s="56"/>
      <c r="V179" s="56"/>
      <c r="W179" s="56"/>
      <c r="X179" s="56"/>
      <c r="Y179" s="56"/>
      <c r="Z179" s="56"/>
      <c r="AA179" s="56"/>
      <c r="AB179" s="56"/>
      <c r="AC179" s="56"/>
      <c r="AD179" s="56"/>
      <c r="AE179" s="56"/>
      <c r="AF179" s="56"/>
      <c r="AG179" s="56"/>
      <c r="AH179" s="56"/>
      <c r="AI179" s="56"/>
      <c r="AJ179" s="56"/>
      <c r="AK179" s="56"/>
      <c r="AL179" s="56"/>
      <c r="AM179" s="56"/>
      <c r="AN179" s="56"/>
      <c r="AO179" s="56"/>
      <c r="AP179" s="56"/>
      <c r="AQ179" s="56"/>
      <c r="AR179" s="56"/>
      <c r="AS179" s="56"/>
      <c r="AT179" s="56"/>
      <c r="AU179" s="56"/>
      <c r="AV179" s="56"/>
      <c r="AW179" s="56"/>
      <c r="AX179" s="56"/>
      <c r="AY179" s="56"/>
      <c r="AZ179" s="56"/>
      <c r="BA179" s="56"/>
      <c r="BB179" s="56"/>
      <c r="BC179" s="56"/>
      <c r="BD179" s="56"/>
      <c r="BE179" s="56"/>
      <c r="BF179" s="56"/>
      <c r="BG179" s="56"/>
      <c r="BH179" s="56"/>
      <c r="BI179" s="56"/>
      <c r="BJ179" s="56"/>
      <c r="BK179" s="56"/>
      <c r="BL179" s="56"/>
      <c r="BM179" s="56"/>
      <c r="BN179" s="56"/>
      <c r="BO179" s="56"/>
      <c r="BP179" s="56">
        <v>-20</v>
      </c>
      <c r="BQ179" s="56">
        <v>-20</v>
      </c>
      <c r="BR179" s="56">
        <v>-40</v>
      </c>
      <c r="BS179" s="56"/>
      <c r="BT179" s="56"/>
      <c r="BU179" s="56"/>
      <c r="BV179" s="56">
        <v>-40</v>
      </c>
      <c r="BW179" s="56"/>
      <c r="BX179" s="56"/>
      <c r="BY179" s="56"/>
      <c r="BZ179" s="56"/>
      <c r="CA179" s="56">
        <v>-20</v>
      </c>
      <c r="CB179" s="56"/>
      <c r="CC179" s="56">
        <v>-20</v>
      </c>
      <c r="CD179" s="56"/>
      <c r="CE179" s="56">
        <v>-20</v>
      </c>
      <c r="CF179" s="56">
        <v>-50</v>
      </c>
      <c r="CG179" s="56"/>
      <c r="CH179" s="56"/>
      <c r="CI179" s="56"/>
      <c r="CJ179" s="56"/>
      <c r="CK179" s="56">
        <v>-25</v>
      </c>
      <c r="CL179" s="56"/>
      <c r="CM179" s="56"/>
      <c r="CN179" s="56"/>
      <c r="CO179" s="35"/>
      <c r="CP179" s="36">
        <f>+SUM(D179:CO179)</f>
        <v>-255</v>
      </c>
      <c r="CQ179" s="42"/>
    </row>
    <row r="180" spans="2:95" ht="12.75" hidden="1" customHeight="1" outlineLevel="1" x14ac:dyDescent="0.2">
      <c r="B180" s="40"/>
      <c r="C180" s="87" t="s">
        <v>57</v>
      </c>
      <c r="D180" s="57"/>
      <c r="E180" s="57"/>
      <c r="F180" s="57"/>
      <c r="G180" s="57"/>
      <c r="H180" s="57"/>
      <c r="I180" s="57"/>
      <c r="J180" s="57"/>
      <c r="K180" s="57"/>
      <c r="L180" s="57"/>
      <c r="M180" s="57"/>
      <c r="N180" s="57"/>
      <c r="O180" s="57"/>
      <c r="P180" s="57"/>
      <c r="Q180" s="57"/>
      <c r="R180" s="57"/>
      <c r="S180" s="57"/>
      <c r="T180" s="57"/>
      <c r="U180" s="57"/>
      <c r="V180" s="57"/>
      <c r="W180" s="57"/>
      <c r="X180" s="57"/>
      <c r="Y180" s="57"/>
      <c r="Z180" s="57"/>
      <c r="AA180" s="57"/>
      <c r="AB180" s="57"/>
      <c r="AC180" s="57"/>
      <c r="AD180" s="57"/>
      <c r="AE180" s="57"/>
      <c r="AF180" s="57"/>
      <c r="AG180" s="57"/>
      <c r="AH180" s="57"/>
      <c r="AI180" s="57"/>
      <c r="AJ180" s="57"/>
      <c r="AK180" s="57"/>
      <c r="AL180" s="57"/>
      <c r="AM180" s="57"/>
      <c r="AN180" s="57"/>
      <c r="AO180" s="57"/>
      <c r="AP180" s="57"/>
      <c r="AQ180" s="57"/>
      <c r="AR180" s="57"/>
      <c r="AS180" s="57"/>
      <c r="AT180" s="57"/>
      <c r="AU180" s="57"/>
      <c r="AV180" s="57"/>
      <c r="AW180" s="57"/>
      <c r="AX180" s="57"/>
      <c r="AY180" s="57"/>
      <c r="AZ180" s="57"/>
      <c r="BA180" s="57"/>
      <c r="BB180" s="57"/>
      <c r="BC180" s="57"/>
      <c r="BD180" s="57"/>
      <c r="BE180" s="57"/>
      <c r="BF180" s="57"/>
      <c r="BG180" s="57"/>
      <c r="BH180" s="57"/>
      <c r="BI180" s="57"/>
      <c r="BJ180" s="57"/>
      <c r="BK180" s="57"/>
      <c r="BL180" s="57"/>
      <c r="BM180" s="57"/>
      <c r="BN180" s="57"/>
      <c r="BO180" s="57"/>
      <c r="BP180" s="57"/>
      <c r="BQ180" s="57"/>
      <c r="BR180" s="57"/>
      <c r="BS180" s="57"/>
      <c r="BT180" s="57"/>
      <c r="BU180" s="57"/>
      <c r="BV180" s="57"/>
      <c r="BW180" s="57"/>
      <c r="BX180" s="57">
        <v>-30</v>
      </c>
      <c r="BY180" s="57">
        <v>-25</v>
      </c>
      <c r="BZ180" s="57"/>
      <c r="CA180" s="57">
        <v>-20</v>
      </c>
      <c r="CB180" s="57">
        <v>-20</v>
      </c>
      <c r="CC180" s="57"/>
      <c r="CD180" s="57">
        <v>-60</v>
      </c>
      <c r="CE180" s="57"/>
      <c r="CF180" s="57"/>
      <c r="CG180" s="57">
        <v>-90</v>
      </c>
      <c r="CH180" s="57"/>
      <c r="CI180" s="57"/>
      <c r="CJ180" s="57"/>
      <c r="CK180" s="57"/>
      <c r="CL180" s="57"/>
      <c r="CM180" s="57"/>
      <c r="CN180" s="57">
        <v>-60</v>
      </c>
      <c r="CO180" s="42"/>
      <c r="CP180" s="29">
        <f>+SUM(D180:CO180)</f>
        <v>-305</v>
      </c>
      <c r="CQ180" s="42"/>
    </row>
    <row r="181" spans="2:95" ht="12.75" hidden="1" customHeight="1" outlineLevel="1" x14ac:dyDescent="0.2">
      <c r="B181" s="33"/>
      <c r="C181" s="86" t="s">
        <v>58</v>
      </c>
      <c r="D181" s="56"/>
      <c r="E181" s="56"/>
      <c r="F181" s="56"/>
      <c r="G181" s="56"/>
      <c r="H181" s="56"/>
      <c r="I181" s="56"/>
      <c r="J181" s="56"/>
      <c r="K181" s="56"/>
      <c r="L181" s="56"/>
      <c r="M181" s="56"/>
      <c r="N181" s="56"/>
      <c r="O181" s="56"/>
      <c r="P181" s="56"/>
      <c r="Q181" s="56"/>
      <c r="R181" s="56"/>
      <c r="S181" s="56"/>
      <c r="T181" s="56"/>
      <c r="U181" s="56"/>
      <c r="V181" s="56"/>
      <c r="W181" s="56"/>
      <c r="X181" s="56"/>
      <c r="Y181" s="56"/>
      <c r="Z181" s="56"/>
      <c r="AA181" s="56"/>
      <c r="AB181" s="56"/>
      <c r="AC181" s="56"/>
      <c r="AD181" s="56"/>
      <c r="AE181" s="56"/>
      <c r="AF181" s="56"/>
      <c r="AG181" s="56"/>
      <c r="AH181" s="56"/>
      <c r="AI181" s="56"/>
      <c r="AJ181" s="56"/>
      <c r="AK181" s="56"/>
      <c r="AL181" s="56"/>
      <c r="AM181" s="56"/>
      <c r="AN181" s="56"/>
      <c r="AO181" s="56"/>
      <c r="AP181" s="56"/>
      <c r="AQ181" s="56"/>
      <c r="AR181" s="56"/>
      <c r="AS181" s="56"/>
      <c r="AT181" s="56"/>
      <c r="AU181" s="56"/>
      <c r="AV181" s="56"/>
      <c r="AW181" s="56"/>
      <c r="AX181" s="56"/>
      <c r="AY181" s="56"/>
      <c r="AZ181" s="56"/>
      <c r="BA181" s="56"/>
      <c r="BB181" s="56"/>
      <c r="BC181" s="56"/>
      <c r="BD181" s="56"/>
      <c r="BE181" s="56"/>
      <c r="BF181" s="56"/>
      <c r="BG181" s="56"/>
      <c r="BH181" s="56"/>
      <c r="BI181" s="56"/>
      <c r="BJ181" s="56"/>
      <c r="BK181" s="56"/>
      <c r="BL181" s="56"/>
      <c r="BM181" s="56"/>
      <c r="BN181" s="56"/>
      <c r="BO181" s="56"/>
      <c r="BP181" s="56"/>
      <c r="BQ181" s="56"/>
      <c r="BR181" s="56"/>
      <c r="BS181" s="56"/>
      <c r="BT181" s="56"/>
      <c r="BU181" s="56"/>
      <c r="BV181" s="56"/>
      <c r="BW181" s="56"/>
      <c r="BX181" s="56"/>
      <c r="BY181" s="56">
        <v>-25</v>
      </c>
      <c r="BZ181" s="56"/>
      <c r="CA181" s="56"/>
      <c r="CB181" s="56"/>
      <c r="CC181" s="56"/>
      <c r="CD181" s="56"/>
      <c r="CE181" s="56"/>
      <c r="CF181" s="56"/>
      <c r="CG181" s="56"/>
      <c r="CH181" s="56"/>
      <c r="CI181" s="56"/>
      <c r="CJ181" s="56"/>
      <c r="CK181" s="56"/>
      <c r="CL181" s="56"/>
      <c r="CM181" s="56"/>
      <c r="CN181" s="56"/>
      <c r="CO181" s="35"/>
      <c r="CP181" s="36">
        <f>+SUM(D181:CO181)</f>
        <v>-25</v>
      </c>
      <c r="CQ181" s="42"/>
    </row>
    <row r="182" spans="2:95" ht="12.75" hidden="1" customHeight="1" outlineLevel="1" x14ac:dyDescent="0.2">
      <c r="B182" s="40"/>
      <c r="C182" s="87" t="s">
        <v>59</v>
      </c>
      <c r="D182" s="57"/>
      <c r="E182" s="57"/>
      <c r="F182" s="57"/>
      <c r="G182" s="57"/>
      <c r="H182" s="57"/>
      <c r="I182" s="57"/>
      <c r="J182" s="57"/>
      <c r="K182" s="57"/>
      <c r="L182" s="57"/>
      <c r="M182" s="57"/>
      <c r="N182" s="57"/>
      <c r="O182" s="57"/>
      <c r="P182" s="57"/>
      <c r="Q182" s="57"/>
      <c r="R182" s="57"/>
      <c r="S182" s="57"/>
      <c r="T182" s="57"/>
      <c r="U182" s="57"/>
      <c r="V182" s="57"/>
      <c r="W182" s="57"/>
      <c r="X182" s="57"/>
      <c r="Y182" s="57"/>
      <c r="Z182" s="57"/>
      <c r="AA182" s="57"/>
      <c r="AB182" s="57"/>
      <c r="AC182" s="57"/>
      <c r="AD182" s="57"/>
      <c r="AE182" s="57"/>
      <c r="AF182" s="57"/>
      <c r="AG182" s="57"/>
      <c r="AH182" s="57"/>
      <c r="AI182" s="57"/>
      <c r="AJ182" s="57"/>
      <c r="AK182" s="57"/>
      <c r="AL182" s="57"/>
      <c r="AM182" s="57"/>
      <c r="AN182" s="57"/>
      <c r="AO182" s="57"/>
      <c r="AP182" s="57"/>
      <c r="AQ182" s="57"/>
      <c r="AR182" s="57"/>
      <c r="AS182" s="57"/>
      <c r="AT182" s="57"/>
      <c r="AU182" s="57"/>
      <c r="AV182" s="57"/>
      <c r="AW182" s="57"/>
      <c r="AX182" s="57"/>
      <c r="AY182" s="57"/>
      <c r="AZ182" s="57"/>
      <c r="BA182" s="57"/>
      <c r="BB182" s="57"/>
      <c r="BC182" s="57"/>
      <c r="BD182" s="57"/>
      <c r="BE182" s="57"/>
      <c r="BF182" s="57"/>
      <c r="BG182" s="57"/>
      <c r="BH182" s="57"/>
      <c r="BI182" s="57"/>
      <c r="BJ182" s="57"/>
      <c r="BK182" s="57"/>
      <c r="BL182" s="57"/>
      <c r="BM182" s="57"/>
      <c r="BN182" s="57"/>
      <c r="BO182" s="57"/>
      <c r="BP182" s="57"/>
      <c r="BQ182" s="57"/>
      <c r="BR182" s="57"/>
      <c r="BS182" s="57"/>
      <c r="BT182" s="57"/>
      <c r="BU182" s="57"/>
      <c r="BV182" s="57"/>
      <c r="BW182" s="57"/>
      <c r="BX182" s="57"/>
      <c r="BY182" s="57"/>
      <c r="BZ182" s="57"/>
      <c r="CA182" s="57">
        <v>-20</v>
      </c>
      <c r="CB182" s="57"/>
      <c r="CC182" s="57"/>
      <c r="CD182" s="57"/>
      <c r="CE182" s="57"/>
      <c r="CF182" s="57"/>
      <c r="CG182" s="57"/>
      <c r="CH182" s="57">
        <v>-90</v>
      </c>
      <c r="CI182" s="57"/>
      <c r="CJ182" s="57"/>
      <c r="CK182" s="57"/>
      <c r="CL182" s="57"/>
      <c r="CM182" s="57"/>
      <c r="CN182" s="57"/>
      <c r="CO182" s="42"/>
      <c r="CP182" s="29">
        <f>+SUM(D182:CO182)</f>
        <v>-110</v>
      </c>
      <c r="CQ182" s="42"/>
    </row>
    <row r="183" spans="2:95" ht="12.75" hidden="1" customHeight="1" outlineLevel="1" x14ac:dyDescent="0.2">
      <c r="B183" s="33"/>
      <c r="C183" s="86" t="s">
        <v>60</v>
      </c>
      <c r="D183" s="56"/>
      <c r="E183" s="56"/>
      <c r="F183" s="56"/>
      <c r="G183" s="56"/>
      <c r="H183" s="56"/>
      <c r="I183" s="56"/>
      <c r="J183" s="56"/>
      <c r="K183" s="56"/>
      <c r="L183" s="56"/>
      <c r="M183" s="56"/>
      <c r="N183" s="56"/>
      <c r="O183" s="56"/>
      <c r="P183" s="56"/>
      <c r="Q183" s="56"/>
      <c r="R183" s="56"/>
      <c r="S183" s="56"/>
      <c r="T183" s="56"/>
      <c r="U183" s="56"/>
      <c r="V183" s="56"/>
      <c r="W183" s="56"/>
      <c r="X183" s="56"/>
      <c r="Y183" s="56"/>
      <c r="Z183" s="56"/>
      <c r="AA183" s="56"/>
      <c r="AB183" s="56"/>
      <c r="AC183" s="56"/>
      <c r="AD183" s="56"/>
      <c r="AE183" s="56"/>
      <c r="AF183" s="56"/>
      <c r="AG183" s="56"/>
      <c r="AH183" s="56"/>
      <c r="AI183" s="56"/>
      <c r="AJ183" s="56"/>
      <c r="AK183" s="56"/>
      <c r="AL183" s="56"/>
      <c r="AM183" s="56"/>
      <c r="AN183" s="56"/>
      <c r="AO183" s="56"/>
      <c r="AP183" s="56"/>
      <c r="AQ183" s="56"/>
      <c r="AR183" s="56"/>
      <c r="AS183" s="56"/>
      <c r="AT183" s="56"/>
      <c r="AU183" s="56"/>
      <c r="AV183" s="56"/>
      <c r="AW183" s="56"/>
      <c r="AX183" s="56"/>
      <c r="AY183" s="56"/>
      <c r="AZ183" s="56"/>
      <c r="BA183" s="56"/>
      <c r="BB183" s="56"/>
      <c r="BC183" s="56"/>
      <c r="BD183" s="56"/>
      <c r="BE183" s="56"/>
      <c r="BF183" s="56"/>
      <c r="BG183" s="56"/>
      <c r="BH183" s="56"/>
      <c r="BI183" s="56"/>
      <c r="BJ183" s="56"/>
      <c r="BK183" s="56"/>
      <c r="BL183" s="56"/>
      <c r="BM183" s="56"/>
      <c r="BN183" s="56"/>
      <c r="BO183" s="56"/>
      <c r="BP183" s="56"/>
      <c r="BQ183" s="56"/>
      <c r="BR183" s="56"/>
      <c r="BS183" s="56"/>
      <c r="BT183" s="56"/>
      <c r="BU183" s="56"/>
      <c r="BV183" s="56"/>
      <c r="BW183" s="56"/>
      <c r="BX183" s="56"/>
      <c r="BY183" s="56"/>
      <c r="BZ183" s="56"/>
      <c r="CA183" s="56"/>
      <c r="CB183" s="56"/>
      <c r="CC183" s="56"/>
      <c r="CD183" s="56"/>
      <c r="CE183" s="56"/>
      <c r="CF183" s="56"/>
      <c r="CG183" s="56">
        <v>-30</v>
      </c>
      <c r="CH183" s="56"/>
      <c r="CI183" s="56"/>
      <c r="CJ183" s="56"/>
      <c r="CK183" s="56"/>
      <c r="CL183" s="56"/>
      <c r="CM183" s="56"/>
      <c r="CN183" s="56"/>
      <c r="CO183" s="35"/>
      <c r="CP183" s="36">
        <f>+SUM(D183:CO183)</f>
        <v>-30</v>
      </c>
      <c r="CQ183" s="42"/>
    </row>
    <row r="184" spans="2:95" ht="12.75" hidden="1" customHeight="1" outlineLevel="1" x14ac:dyDescent="0.2">
      <c r="B184" s="40"/>
      <c r="C184" s="87" t="s">
        <v>61</v>
      </c>
      <c r="D184" s="57"/>
      <c r="E184" s="57"/>
      <c r="F184" s="57"/>
      <c r="G184" s="57"/>
      <c r="H184" s="57"/>
      <c r="I184" s="57"/>
      <c r="J184" s="57"/>
      <c r="K184" s="57"/>
      <c r="L184" s="57"/>
      <c r="M184" s="57"/>
      <c r="N184" s="57"/>
      <c r="O184" s="57"/>
      <c r="P184" s="57"/>
      <c r="Q184" s="57"/>
      <c r="R184" s="57"/>
      <c r="S184" s="57"/>
      <c r="T184" s="57"/>
      <c r="U184" s="57"/>
      <c r="V184" s="57"/>
      <c r="W184" s="57"/>
      <c r="X184" s="57"/>
      <c r="Y184" s="57"/>
      <c r="Z184" s="57"/>
      <c r="AA184" s="57"/>
      <c r="AB184" s="57"/>
      <c r="AC184" s="57"/>
      <c r="AD184" s="57"/>
      <c r="AE184" s="57"/>
      <c r="AF184" s="57"/>
      <c r="AG184" s="57"/>
      <c r="AH184" s="57"/>
      <c r="AI184" s="57"/>
      <c r="AJ184" s="57"/>
      <c r="AK184" s="57"/>
      <c r="AL184" s="57"/>
      <c r="AM184" s="57"/>
      <c r="AN184" s="57"/>
      <c r="AO184" s="57"/>
      <c r="AP184" s="57"/>
      <c r="AQ184" s="57"/>
      <c r="AR184" s="57"/>
      <c r="AS184" s="57"/>
      <c r="AT184" s="57"/>
      <c r="AU184" s="57"/>
      <c r="AV184" s="57"/>
      <c r="AW184" s="57"/>
      <c r="AX184" s="57"/>
      <c r="AY184" s="57"/>
      <c r="AZ184" s="57"/>
      <c r="BA184" s="57"/>
      <c r="BB184" s="57"/>
      <c r="BC184" s="57"/>
      <c r="BD184" s="57"/>
      <c r="BE184" s="57"/>
      <c r="BF184" s="57"/>
      <c r="BG184" s="57"/>
      <c r="BH184" s="57"/>
      <c r="BI184" s="57"/>
      <c r="BJ184" s="57"/>
      <c r="BK184" s="57"/>
      <c r="BL184" s="57"/>
      <c r="BM184" s="57"/>
      <c r="BN184" s="57"/>
      <c r="BO184" s="57"/>
      <c r="BP184" s="57"/>
      <c r="BQ184" s="57"/>
      <c r="BR184" s="57"/>
      <c r="BS184" s="57"/>
      <c r="BT184" s="57"/>
      <c r="BU184" s="57"/>
      <c r="BV184" s="57"/>
      <c r="BW184" s="57"/>
      <c r="BX184" s="57"/>
      <c r="BY184" s="57"/>
      <c r="BZ184" s="57"/>
      <c r="CA184" s="57"/>
      <c r="CB184" s="57"/>
      <c r="CC184" s="57"/>
      <c r="CD184" s="57"/>
      <c r="CE184" s="57"/>
      <c r="CF184" s="57"/>
      <c r="CG184" s="57"/>
      <c r="CH184" s="57"/>
      <c r="CI184" s="57"/>
      <c r="CJ184" s="57">
        <v>-20</v>
      </c>
      <c r="CK184" s="57"/>
      <c r="CL184" s="57"/>
      <c r="CM184" s="57"/>
      <c r="CN184" s="57"/>
      <c r="CO184" s="42"/>
      <c r="CP184" s="29">
        <f>+SUM(D184:CO184)</f>
        <v>-20</v>
      </c>
      <c r="CQ184" s="42"/>
    </row>
    <row r="185" spans="2:95" s="67" customFormat="1" ht="6" hidden="1" customHeight="1" outlineLevel="1" x14ac:dyDescent="0.2">
      <c r="B185" s="63"/>
      <c r="C185" s="63"/>
      <c r="D185" s="64"/>
      <c r="E185" s="64"/>
      <c r="F185" s="64"/>
      <c r="G185" s="64"/>
      <c r="H185" s="64"/>
      <c r="I185" s="64"/>
      <c r="J185" s="64"/>
      <c r="K185" s="64"/>
      <c r="L185" s="64"/>
      <c r="M185" s="64"/>
      <c r="N185" s="64"/>
      <c r="O185" s="64"/>
      <c r="P185" s="64"/>
      <c r="Q185" s="64"/>
      <c r="R185" s="64"/>
      <c r="S185" s="64"/>
      <c r="T185" s="64"/>
      <c r="U185" s="64"/>
      <c r="V185" s="64"/>
      <c r="W185" s="64"/>
      <c r="X185" s="64"/>
      <c r="Y185" s="64"/>
      <c r="Z185" s="64"/>
      <c r="AA185" s="64"/>
      <c r="AB185" s="64"/>
      <c r="AC185" s="64"/>
      <c r="AD185" s="64"/>
      <c r="AE185" s="64"/>
      <c r="AF185" s="64"/>
      <c r="AG185" s="64"/>
      <c r="AH185" s="64"/>
      <c r="AI185" s="64"/>
      <c r="AJ185" s="64"/>
      <c r="AK185" s="64"/>
      <c r="AL185" s="64"/>
      <c r="AM185" s="64"/>
      <c r="AN185" s="64"/>
      <c r="AO185" s="64"/>
      <c r="AP185" s="64"/>
      <c r="AQ185" s="64"/>
      <c r="AR185" s="64"/>
      <c r="AS185" s="64"/>
      <c r="AT185" s="64"/>
      <c r="AU185" s="64"/>
      <c r="AV185" s="64"/>
      <c r="AW185" s="64"/>
      <c r="AX185" s="64"/>
      <c r="AY185" s="64"/>
      <c r="AZ185" s="64"/>
      <c r="BA185" s="64"/>
      <c r="BB185" s="64"/>
      <c r="BC185" s="64"/>
      <c r="BD185" s="64"/>
      <c r="BE185" s="64"/>
      <c r="BF185" s="64"/>
      <c r="BG185" s="64"/>
      <c r="BH185" s="64"/>
      <c r="BI185" s="64"/>
      <c r="BJ185" s="64"/>
      <c r="BK185" s="64"/>
      <c r="BL185" s="64"/>
      <c r="BM185" s="64"/>
      <c r="BN185" s="64"/>
      <c r="BO185" s="64"/>
      <c r="BP185" s="64"/>
      <c r="BQ185" s="64"/>
      <c r="BR185" s="64"/>
      <c r="BS185" s="64"/>
      <c r="BT185" s="64"/>
      <c r="BU185" s="64"/>
      <c r="BV185" s="64"/>
      <c r="BW185" s="64"/>
      <c r="BX185" s="64"/>
      <c r="BY185" s="64"/>
      <c r="BZ185" s="64"/>
      <c r="CA185" s="64"/>
      <c r="CB185" s="64"/>
      <c r="CC185" s="64"/>
      <c r="CD185" s="64"/>
      <c r="CE185" s="64"/>
      <c r="CF185" s="64"/>
      <c r="CG185" s="64"/>
      <c r="CH185" s="64"/>
      <c r="CI185" s="64"/>
      <c r="CJ185" s="64"/>
      <c r="CK185" s="64"/>
      <c r="CL185" s="64"/>
      <c r="CM185" s="64"/>
      <c r="CN185" s="64"/>
      <c r="CO185" s="65"/>
      <c r="CP185" s="66"/>
      <c r="CQ185" s="65"/>
    </row>
    <row r="186" spans="2:95" s="61" customFormat="1" ht="12.75" hidden="1" customHeight="1" outlineLevel="1" x14ac:dyDescent="0.2">
      <c r="B186" s="58"/>
      <c r="C186" s="58" t="s">
        <v>23</v>
      </c>
      <c r="D186" s="59">
        <f>+SUM(D152:D185)</f>
        <v>-50</v>
      </c>
      <c r="E186" s="59">
        <f>+SUM(E152:E185)</f>
        <v>-80</v>
      </c>
      <c r="F186" s="59">
        <f>+SUM(F152:F185)</f>
        <v>-80</v>
      </c>
      <c r="G186" s="59">
        <f>+SUM(G152:G185)</f>
        <v>-50</v>
      </c>
      <c r="H186" s="59">
        <f>+SUM(H152:H185)</f>
        <v>-60</v>
      </c>
      <c r="I186" s="59">
        <f>+SUM(I152:I185)</f>
        <v>-60</v>
      </c>
      <c r="J186" s="59">
        <f>+SUM(J152:J185)</f>
        <v>-90</v>
      </c>
      <c r="K186" s="59">
        <f>+SUM(K152:K185)</f>
        <v>-100</v>
      </c>
      <c r="L186" s="59">
        <f>+SUM(L152:L185)</f>
        <v>-75</v>
      </c>
      <c r="M186" s="59">
        <f>+SUM(M152:M185)</f>
        <v>-75</v>
      </c>
      <c r="N186" s="59">
        <f>+SUM(N152:N185)</f>
        <v>-90</v>
      </c>
      <c r="O186" s="59">
        <f>+SUM(O152:O185)</f>
        <v>-75</v>
      </c>
      <c r="P186" s="59">
        <f>+SUM(P152:P185)</f>
        <v>-90</v>
      </c>
      <c r="Q186" s="59">
        <f>+SUM(Q152:Q185)</f>
        <v>-120</v>
      </c>
      <c r="R186" s="59">
        <f>+SUM(R152:R185)</f>
        <v>-90</v>
      </c>
      <c r="S186" s="59">
        <f>+SUM(S152:S185)</f>
        <v>-99.77000000000001</v>
      </c>
      <c r="T186" s="59">
        <f>+SUM(T152:T185)</f>
        <v>-150</v>
      </c>
      <c r="U186" s="59">
        <f>+SUM(U152:U185)</f>
        <v>-90</v>
      </c>
      <c r="V186" s="59">
        <f>+SUM(V152:V185)</f>
        <v>-105</v>
      </c>
      <c r="W186" s="59">
        <f>+SUM(W152:W185)</f>
        <v>-120</v>
      </c>
      <c r="X186" s="59">
        <f>+SUM(X152:X185)</f>
        <v>-105</v>
      </c>
      <c r="Y186" s="59">
        <f>+SUM(Y152:Y185)</f>
        <v>-90</v>
      </c>
      <c r="Z186" s="59">
        <f>+SUM(Z152:Z185)</f>
        <v>-90</v>
      </c>
      <c r="AA186" s="59">
        <f>+SUM(AA152:AA185)</f>
        <v>-100</v>
      </c>
      <c r="AB186" s="59">
        <f>+SUM(AB152:AB185)</f>
        <v>-105</v>
      </c>
      <c r="AC186" s="59">
        <f>+SUM(AC152:AC185)</f>
        <v>-75</v>
      </c>
      <c r="AD186" s="59">
        <f>+SUM(AD152:AD185)</f>
        <v>-90</v>
      </c>
      <c r="AE186" s="59">
        <f>+SUM(AE152:AE185)</f>
        <v>-140</v>
      </c>
      <c r="AF186" s="59">
        <f>+SUM(AF152:AF185)</f>
        <v>-105</v>
      </c>
      <c r="AG186" s="59">
        <f>+SUM(AG152:AG185)</f>
        <v>-60</v>
      </c>
      <c r="AH186" s="59">
        <f>+SUM(AH152:AH185)</f>
        <v>-90</v>
      </c>
      <c r="AI186" s="59">
        <f>+SUM(AI152:AI185)</f>
        <v>-135</v>
      </c>
      <c r="AJ186" s="59">
        <f>+SUM(AJ152:AJ185)</f>
        <v>-150</v>
      </c>
      <c r="AK186" s="59">
        <f>+SUM(AK152:AK185)</f>
        <v>-70</v>
      </c>
      <c r="AL186" s="59">
        <f>+SUM(AL152:AL185)</f>
        <v>-135</v>
      </c>
      <c r="AM186" s="59">
        <f>+SUM(AM152:AM185)</f>
        <v>-75</v>
      </c>
      <c r="AN186" s="59">
        <f>+SUM(AN152:AN185)</f>
        <v>-120</v>
      </c>
      <c r="AO186" s="59">
        <f>+SUM(AO152:AO185)</f>
        <v>-50</v>
      </c>
      <c r="AP186" s="59">
        <f>+SUM(AP152:AP185)</f>
        <v>-105</v>
      </c>
      <c r="AQ186" s="59">
        <f>+SUM(AQ152:AQ185)</f>
        <v>-120</v>
      </c>
      <c r="AR186" s="59">
        <f>+SUM(AR152:AR185)</f>
        <v>-75</v>
      </c>
      <c r="AS186" s="59">
        <f>+SUM(AS152:AS185)</f>
        <v>-320</v>
      </c>
      <c r="AT186" s="59">
        <f>+SUM(AT152:AT185)</f>
        <v>-120</v>
      </c>
      <c r="AU186" s="59">
        <f>+SUM(AU152:AU185)</f>
        <v>-90</v>
      </c>
      <c r="AV186" s="59">
        <f>+SUM(AV152:AV185)</f>
        <v>-180</v>
      </c>
      <c r="AW186" s="59">
        <f>+SUM(AW152:AW185)</f>
        <v>-180</v>
      </c>
      <c r="AX186" s="59">
        <f>+SUM(AX152:AX185)</f>
        <v>-90</v>
      </c>
      <c r="AY186" s="59">
        <f>+SUM(AY152:AY185)</f>
        <v>-60</v>
      </c>
      <c r="AZ186" s="59">
        <f>+SUM(AZ152:AZ185)</f>
        <v>-240</v>
      </c>
      <c r="BA186" s="59">
        <f>+SUM(BA152:BA185)</f>
        <v>-120</v>
      </c>
      <c r="BB186" s="59">
        <f>+SUM(BB152:BB185)</f>
        <v>-140</v>
      </c>
      <c r="BC186" s="59">
        <f>+SUM(BC152:BC185)</f>
        <v>-120</v>
      </c>
      <c r="BD186" s="59">
        <f>+SUM(BD152:BD185)</f>
        <v>-180</v>
      </c>
      <c r="BE186" s="59">
        <f>+SUM(BE152:BE185)</f>
        <v>-40</v>
      </c>
      <c r="BF186" s="59">
        <f>+SUM(BF152:BF185)</f>
        <v>-60</v>
      </c>
      <c r="BG186" s="59">
        <f>+SUM(BG152:BG185)</f>
        <v>-75</v>
      </c>
      <c r="BH186" s="59">
        <f>+SUM(BH152:BH185)</f>
        <v>-240</v>
      </c>
      <c r="BI186" s="59">
        <f>+SUM(BI152:BI185)</f>
        <v>-100</v>
      </c>
      <c r="BJ186" s="59">
        <f>+SUM(BJ152:BJ185)</f>
        <v>-200</v>
      </c>
      <c r="BK186" s="59">
        <f>+SUM(BK152:BK185)</f>
        <v>-140</v>
      </c>
      <c r="BL186" s="59">
        <f>+SUM(BL152:BL185)</f>
        <v>-180</v>
      </c>
      <c r="BM186" s="59">
        <f>+SUM(BM152:BM185)</f>
        <v>-140</v>
      </c>
      <c r="BN186" s="59">
        <f>+SUM(BN152:BN185)</f>
        <v>-100</v>
      </c>
      <c r="BO186" s="59">
        <f>+SUM(BO152:BO185)</f>
        <v>-120</v>
      </c>
      <c r="BP186" s="59">
        <f>+SUM(BP152:BP185)</f>
        <v>-460</v>
      </c>
      <c r="BQ186" s="59">
        <f>+SUM(BQ152:BQ185)</f>
        <v>-180</v>
      </c>
      <c r="BR186" s="59">
        <f>+SUM(BR152:BR185)</f>
        <v>-180</v>
      </c>
      <c r="BS186" s="59">
        <f>+SUM(BS152:BS185)</f>
        <v>-200</v>
      </c>
      <c r="BT186" s="59">
        <f>+SUM(BT152:BT185)</f>
        <v>-200</v>
      </c>
      <c r="BU186" s="59">
        <f>+SUM(BU152:BU185)</f>
        <v>-180</v>
      </c>
      <c r="BV186" s="59">
        <f>+SUM(BV152:BV185)</f>
        <v>-220</v>
      </c>
      <c r="BW186" s="59">
        <f>+SUM(BW152:BW185)</f>
        <v>-140</v>
      </c>
      <c r="BX186" s="59">
        <f>+SUM(BX152:BX185)</f>
        <v>-270</v>
      </c>
      <c r="BY186" s="59">
        <f>+SUM(BY152:BY185)</f>
        <v>-275</v>
      </c>
      <c r="BZ186" s="59">
        <f>+SUM(BZ152:BZ185)</f>
        <v>-120</v>
      </c>
      <c r="CA186" s="59">
        <f>+SUM(CA152:CA185)</f>
        <v>-180</v>
      </c>
      <c r="CB186" s="59">
        <f>+SUM(CB152:CB185)</f>
        <v>-240</v>
      </c>
      <c r="CC186" s="59">
        <f>+SUM(CC152:CC185)</f>
        <v>-220</v>
      </c>
      <c r="CD186" s="59">
        <f>+SUM(CD152:CD185)</f>
        <v>-220</v>
      </c>
      <c r="CE186" s="59">
        <f>+SUM(CE152:CE185)</f>
        <v>-220</v>
      </c>
      <c r="CF186" s="59">
        <f>+SUM(CF152:CF185)</f>
        <v>-175</v>
      </c>
      <c r="CG186" s="59">
        <f>+SUM(CG152:CG185)</f>
        <v>-270</v>
      </c>
      <c r="CH186" s="59">
        <f>+SUM(CH152:CH185)</f>
        <v>-360</v>
      </c>
      <c r="CI186" s="59">
        <f>+SUM(CI152:CI185)</f>
        <v>-180</v>
      </c>
      <c r="CJ186" s="59">
        <f>+SUM(CJ152:CJ185)</f>
        <v>-100</v>
      </c>
      <c r="CK186" s="59">
        <f>+SUM(CK152:CK185)</f>
        <v>-275</v>
      </c>
      <c r="CL186" s="59">
        <f>+SUM(CL152:CL185)</f>
        <v>-360</v>
      </c>
      <c r="CM186" s="59">
        <f>+SUM(CM152:CM185)</f>
        <v>-300</v>
      </c>
      <c r="CN186" s="59">
        <f>+SUM(CN152:CN185)</f>
        <v>-330</v>
      </c>
      <c r="CO186" s="60"/>
      <c r="CP186" s="59">
        <f>+SUM(CP152:CP185)</f>
        <v>-12924.77</v>
      </c>
      <c r="CQ186" s="60"/>
    </row>
    <row r="187" spans="2:95" ht="12.75" hidden="1" customHeight="1" outlineLevel="1" x14ac:dyDescent="0.2">
      <c r="CP187" s="24"/>
    </row>
    <row r="188" spans="2:95" ht="12.75" hidden="1" customHeight="1" outlineLevel="1" x14ac:dyDescent="0.2">
      <c r="B188" s="48"/>
      <c r="C188" s="48" t="s">
        <v>21</v>
      </c>
      <c r="D188" s="49">
        <f>+SUM(D113:CP146,D152:CP185)</f>
        <v>-3.637978807091713E-12</v>
      </c>
    </row>
    <row r="189" spans="2:95" ht="12.75" customHeight="1" collapsed="1" x14ac:dyDescent="0.2"/>
  </sheetData>
  <conditionalFormatting sqref="D108">
    <cfRule type="expression" dxfId="3" priority="5">
      <formula>IF(ROUND($D$108,2)=0,TRUE,FALSE)</formula>
    </cfRule>
    <cfRule type="expression" dxfId="2" priority="6">
      <formula>IF(ROUND($D$108,2)&lt;&gt;0,TRUE,FALSE)</formula>
    </cfRule>
  </conditionalFormatting>
  <conditionalFormatting sqref="D188">
    <cfRule type="expression" dxfId="1" priority="1">
      <formula>IF(ROUND($D$188,2)=0,TRUE,FALSE)</formula>
    </cfRule>
    <cfRule type="expression" dxfId="0" priority="2">
      <formula>IF(ROUND($D$188,2)&lt;&gt;0,TRUE,FALSE)</formula>
    </cfRule>
  </conditionalFormatting>
  <printOptions horizontalCentered="1"/>
  <pageMargins left="0" right="0" top="0.19685039370078741" bottom="0.19685039370078741" header="0" footer="0"/>
  <pageSetup paperSize="9" scale="80" orientation="landscape" r:id="rId1"/>
  <ignoredErrors>
    <ignoredError sqref="AC106" formulaRange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Summary</vt:lpstr>
      <vt:lpstr>Summary!Print_Area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Amos</dc:creator>
  <cp:keywords/>
  <dc:description/>
  <cp:lastModifiedBy>Amos Aaltio</cp:lastModifiedBy>
  <cp:revision/>
  <dcterms:created xsi:type="dcterms:W3CDTF">2022-11-19T16:43:13Z</dcterms:created>
  <dcterms:modified xsi:type="dcterms:W3CDTF">2026-06-05T10:38:29Z</dcterms:modified>
  <cp:category/>
  <cp:contentStatus/>
</cp:coreProperties>
</file>